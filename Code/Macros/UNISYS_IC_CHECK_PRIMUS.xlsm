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22995" windowHeight="7995"/>
  </bookViews>
  <sheets>
    <sheet name="WHAT_CHANGED" sheetId="1" r:id="rId1"/>
    <sheet name="PREV_FIXES" sheetId="3" r:id="rId2"/>
    <sheet name="NEW_FIXES" sheetId="4" r:id="rId3"/>
    <sheet name="Query_Res" sheetId="2" r:id="rId4"/>
  </sheets>
  <functionGroups builtInGroupCount="17"/>
  <definedNames>
    <definedName name="_xlnm._FilterDatabase" localSheetId="0" hidden="1">WHAT_CHANGED!$A$4:$E$108</definedName>
    <definedName name="Primus" localSheetId="3">Query_Res!$A$1:$C$105</definedName>
    <definedName name="_xlnm.Print_Area" localSheetId="0">WHAT_CHANGED!$A$2:$E$105</definedName>
  </definedNames>
  <calcPr calcId="144525"/>
</workbook>
</file>

<file path=xl/calcChain.xml><?xml version="1.0" encoding="utf-8"?>
<calcChain xmlns="http://schemas.openxmlformats.org/spreadsheetml/2006/main">
  <c r="A104" i="1" l="1"/>
  <c r="A105" i="1"/>
  <c r="A106" i="1"/>
  <c r="A107" i="1"/>
  <c r="A108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5" i="1"/>
  <c r="C5" i="1" l="1"/>
  <c r="B5" i="1"/>
  <c r="C84" i="1"/>
  <c r="B84" i="1"/>
  <c r="C82" i="1"/>
  <c r="B82" i="1"/>
  <c r="C80" i="1"/>
  <c r="B80" i="1"/>
  <c r="C78" i="1"/>
  <c r="B78" i="1"/>
  <c r="C76" i="1"/>
  <c r="B76" i="1"/>
  <c r="C74" i="1"/>
  <c r="B74" i="1"/>
  <c r="C72" i="1"/>
  <c r="B72" i="1"/>
  <c r="C70" i="1"/>
  <c r="B70" i="1"/>
  <c r="C68" i="1"/>
  <c r="B68" i="1"/>
  <c r="C66" i="1"/>
  <c r="B66" i="1"/>
  <c r="C64" i="1"/>
  <c r="B64" i="1"/>
  <c r="C62" i="1"/>
  <c r="B62" i="1"/>
  <c r="C60" i="1"/>
  <c r="B60" i="1"/>
  <c r="C58" i="1"/>
  <c r="B58" i="1"/>
  <c r="C56" i="1"/>
  <c r="B56" i="1"/>
  <c r="C54" i="1"/>
  <c r="B54" i="1"/>
  <c r="C52" i="1"/>
  <c r="B52" i="1"/>
  <c r="C50" i="1"/>
  <c r="B50" i="1"/>
  <c r="C48" i="1"/>
  <c r="B48" i="1"/>
  <c r="C46" i="1"/>
  <c r="B46" i="1"/>
  <c r="C44" i="1"/>
  <c r="B44" i="1"/>
  <c r="C42" i="1"/>
  <c r="B42" i="1"/>
  <c r="C40" i="1"/>
  <c r="B40" i="1"/>
  <c r="C38" i="1"/>
  <c r="B38" i="1"/>
  <c r="C36" i="1"/>
  <c r="B36" i="1"/>
  <c r="C34" i="1"/>
  <c r="B34" i="1"/>
  <c r="C32" i="1"/>
  <c r="B32" i="1"/>
  <c r="C30" i="1"/>
  <c r="B30" i="1"/>
  <c r="C28" i="1"/>
  <c r="B28" i="1"/>
  <c r="C26" i="1"/>
  <c r="B26" i="1"/>
  <c r="C24" i="1"/>
  <c r="B24" i="1"/>
  <c r="C22" i="1"/>
  <c r="B22" i="1"/>
  <c r="C20" i="1"/>
  <c r="B20" i="1"/>
  <c r="C18" i="1"/>
  <c r="B18" i="1"/>
  <c r="C16" i="1"/>
  <c r="B16" i="1"/>
  <c r="C14" i="1"/>
  <c r="B14" i="1"/>
  <c r="C12" i="1"/>
  <c r="B12" i="1"/>
  <c r="C10" i="1"/>
  <c r="B10" i="1"/>
  <c r="C8" i="1"/>
  <c r="B8" i="1"/>
  <c r="C6" i="1"/>
  <c r="B6" i="1"/>
  <c r="C102" i="1"/>
  <c r="B102" i="1"/>
  <c r="C100" i="1"/>
  <c r="B100" i="1"/>
  <c r="C98" i="1"/>
  <c r="B98" i="1"/>
  <c r="C96" i="1"/>
  <c r="B96" i="1"/>
  <c r="C94" i="1"/>
  <c r="B94" i="1"/>
  <c r="C92" i="1"/>
  <c r="B92" i="1"/>
  <c r="C90" i="1"/>
  <c r="B90" i="1"/>
  <c r="C107" i="1"/>
  <c r="B107" i="1"/>
  <c r="C105" i="1"/>
  <c r="B105" i="1"/>
  <c r="C88" i="1"/>
  <c r="B88" i="1"/>
  <c r="C86" i="1"/>
  <c r="B86" i="1"/>
  <c r="C89" i="1"/>
  <c r="B89" i="1"/>
  <c r="C87" i="1"/>
  <c r="B87" i="1"/>
  <c r="C85" i="1"/>
  <c r="B85" i="1"/>
  <c r="C83" i="1"/>
  <c r="B83" i="1"/>
  <c r="C81" i="1"/>
  <c r="B81" i="1"/>
  <c r="C79" i="1"/>
  <c r="B79" i="1"/>
  <c r="C77" i="1"/>
  <c r="B77" i="1"/>
  <c r="C75" i="1"/>
  <c r="B75" i="1"/>
  <c r="C73" i="1"/>
  <c r="B73" i="1"/>
  <c r="C71" i="1"/>
  <c r="B71" i="1"/>
  <c r="C69" i="1"/>
  <c r="B69" i="1"/>
  <c r="C67" i="1"/>
  <c r="B67" i="1"/>
  <c r="C65" i="1"/>
  <c r="B65" i="1"/>
  <c r="C63" i="1"/>
  <c r="B63" i="1"/>
  <c r="C61" i="1"/>
  <c r="B61" i="1"/>
  <c r="C59" i="1"/>
  <c r="B59" i="1"/>
  <c r="C57" i="1"/>
  <c r="B57" i="1"/>
  <c r="C55" i="1"/>
  <c r="B55" i="1"/>
  <c r="C53" i="1"/>
  <c r="B53" i="1"/>
  <c r="C51" i="1"/>
  <c r="B51" i="1"/>
  <c r="C49" i="1"/>
  <c r="B49" i="1"/>
  <c r="C47" i="1"/>
  <c r="B47" i="1"/>
  <c r="C45" i="1"/>
  <c r="B45" i="1"/>
  <c r="C43" i="1"/>
  <c r="B43" i="1"/>
  <c r="C41" i="1"/>
  <c r="B41" i="1"/>
  <c r="C39" i="1"/>
  <c r="B39" i="1"/>
  <c r="C37" i="1"/>
  <c r="B37" i="1"/>
  <c r="C35" i="1"/>
  <c r="B35" i="1"/>
  <c r="C33" i="1"/>
  <c r="B33" i="1"/>
  <c r="C31" i="1"/>
  <c r="B31" i="1"/>
  <c r="C29" i="1"/>
  <c r="B29" i="1"/>
  <c r="C27" i="1"/>
  <c r="B27" i="1"/>
  <c r="C25" i="1"/>
  <c r="B25" i="1"/>
  <c r="C23" i="1"/>
  <c r="B23" i="1"/>
  <c r="C21" i="1"/>
  <c r="B21" i="1"/>
  <c r="C19" i="1"/>
  <c r="B19" i="1"/>
  <c r="C17" i="1"/>
  <c r="B17" i="1"/>
  <c r="C15" i="1"/>
  <c r="B15" i="1"/>
  <c r="C13" i="1"/>
  <c r="B13" i="1"/>
  <c r="C11" i="1"/>
  <c r="B11" i="1"/>
  <c r="C9" i="1"/>
  <c r="B9" i="1"/>
  <c r="C7" i="1"/>
  <c r="B7" i="1"/>
  <c r="C103" i="1"/>
  <c r="B103" i="1"/>
  <c r="C101" i="1"/>
  <c r="B101" i="1"/>
  <c r="C99" i="1"/>
  <c r="B99" i="1"/>
  <c r="C97" i="1"/>
  <c r="B97" i="1"/>
  <c r="C95" i="1"/>
  <c r="B95" i="1"/>
  <c r="C93" i="1"/>
  <c r="B93" i="1"/>
  <c r="C91" i="1"/>
  <c r="B91" i="1"/>
  <c r="C108" i="1"/>
  <c r="B108" i="1"/>
  <c r="C106" i="1"/>
  <c r="B106" i="1"/>
  <c r="C104" i="1"/>
  <c r="B104" i="1"/>
  <c r="D5" i="1"/>
  <c r="D13" i="1"/>
  <c r="D62" i="1"/>
  <c r="D77" i="1"/>
  <c r="D104" i="1"/>
  <c r="D25" i="1"/>
  <c r="D101" i="1"/>
  <c r="D10" i="1"/>
  <c r="D87" i="1"/>
  <c r="D29" i="1"/>
  <c r="D78" i="1"/>
  <c r="D79" i="1"/>
  <c r="D105" i="1"/>
  <c r="D73" i="1"/>
  <c r="D103" i="1"/>
  <c r="D88" i="1"/>
  <c r="D15" i="1"/>
  <c r="D68" i="1"/>
  <c r="D65" i="1"/>
  <c r="D26" i="1"/>
  <c r="D97" i="1"/>
  <c r="D96" i="1"/>
  <c r="D102" i="1"/>
  <c r="D14" i="1"/>
  <c r="D8" i="1"/>
  <c r="D38" i="1"/>
  <c r="D100" i="1"/>
  <c r="D39" i="1"/>
  <c r="D98" i="1"/>
  <c r="D108" i="1"/>
  <c r="D18" i="1"/>
  <c r="D51" i="1"/>
  <c r="D45" i="1"/>
  <c r="D11" i="1"/>
  <c r="D67" i="1"/>
  <c r="D43" i="1"/>
  <c r="D61" i="1"/>
  <c r="D81" i="1"/>
  <c r="D7" i="1"/>
  <c r="D74" i="1"/>
  <c r="D53" i="1"/>
  <c r="D106" i="1"/>
  <c r="D27" i="1"/>
  <c r="D34" i="1"/>
  <c r="D83" i="1"/>
  <c r="D93" i="1"/>
  <c r="D44" i="1"/>
  <c r="D107" i="1"/>
  <c r="D40" i="1"/>
  <c r="D47" i="1"/>
  <c r="D76" i="1"/>
  <c r="D50" i="1"/>
  <c r="D94" i="1"/>
  <c r="D41" i="1"/>
  <c r="D58" i="1"/>
  <c r="D48" i="1"/>
  <c r="D20" i="1"/>
  <c r="D71" i="1"/>
  <c r="D64" i="1"/>
  <c r="D6" i="1"/>
  <c r="D72" i="1"/>
  <c r="D35" i="1"/>
  <c r="D37" i="1"/>
  <c r="D32" i="1"/>
  <c r="D42" i="1"/>
  <c r="D36" i="1"/>
  <c r="D30" i="1"/>
  <c r="D69" i="1"/>
  <c r="D17" i="1"/>
  <c r="D80" i="1"/>
  <c r="D22" i="1"/>
  <c r="D90" i="1"/>
  <c r="D31" i="1"/>
  <c r="D95" i="1"/>
  <c r="D66" i="1"/>
  <c r="D12" i="1"/>
  <c r="D84" i="1"/>
  <c r="D21" i="1"/>
  <c r="D82" i="1"/>
  <c r="D63" i="1"/>
  <c r="D9" i="1"/>
  <c r="D54" i="1"/>
  <c r="D86" i="1"/>
  <c r="D59" i="1"/>
  <c r="D49" i="1"/>
  <c r="E104" i="1" l="1"/>
  <c r="E106" i="1"/>
  <c r="E108" i="1"/>
  <c r="E93" i="1"/>
  <c r="E95" i="1"/>
  <c r="E97" i="1"/>
  <c r="E101" i="1"/>
  <c r="E103" i="1"/>
  <c r="E7" i="1"/>
  <c r="E9" i="1"/>
  <c r="E11" i="1"/>
  <c r="E13" i="1"/>
  <c r="E15" i="1"/>
  <c r="E17" i="1"/>
  <c r="E21" i="1"/>
  <c r="E25" i="1"/>
  <c r="E27" i="1"/>
  <c r="E29" i="1"/>
  <c r="E31" i="1"/>
  <c r="E35" i="1"/>
  <c r="E37" i="1"/>
  <c r="E39" i="1"/>
  <c r="E41" i="1"/>
  <c r="E43" i="1"/>
  <c r="E45" i="1"/>
  <c r="E47" i="1"/>
  <c r="E49" i="1"/>
  <c r="E51" i="1"/>
  <c r="E53" i="1"/>
  <c r="E59" i="1"/>
  <c r="E61" i="1"/>
  <c r="E63" i="1"/>
  <c r="E65" i="1"/>
  <c r="E67" i="1"/>
  <c r="E69" i="1"/>
  <c r="E71" i="1"/>
  <c r="E73" i="1"/>
  <c r="E77" i="1"/>
  <c r="E79" i="1"/>
  <c r="E81" i="1"/>
  <c r="E83" i="1"/>
  <c r="E87" i="1"/>
  <c r="E86" i="1"/>
  <c r="E88" i="1"/>
  <c r="E105" i="1"/>
  <c r="E107" i="1"/>
  <c r="E90" i="1"/>
  <c r="E94" i="1"/>
  <c r="E96" i="1"/>
  <c r="E98" i="1"/>
  <c r="E100" i="1"/>
  <c r="E102" i="1"/>
  <c r="E6" i="1"/>
  <c r="E8" i="1"/>
  <c r="E10" i="1"/>
  <c r="E12" i="1"/>
  <c r="E14" i="1"/>
  <c r="E18" i="1"/>
  <c r="E20" i="1"/>
  <c r="E22" i="1"/>
  <c r="E26" i="1"/>
  <c r="E30" i="1"/>
  <c r="E32" i="1"/>
  <c r="E34" i="1"/>
  <c r="E36" i="1"/>
  <c r="E38" i="1"/>
  <c r="E40" i="1"/>
  <c r="E42" i="1"/>
  <c r="E44" i="1"/>
  <c r="E48" i="1"/>
  <c r="E50" i="1"/>
  <c r="E54" i="1"/>
  <c r="E58" i="1"/>
  <c r="E62" i="1"/>
  <c r="E64" i="1"/>
  <c r="E66" i="1"/>
  <c r="E68" i="1"/>
  <c r="E72" i="1"/>
  <c r="E74" i="1"/>
  <c r="E76" i="1"/>
  <c r="E78" i="1"/>
  <c r="E80" i="1"/>
  <c r="E82" i="1"/>
  <c r="E84" i="1"/>
  <c r="E5" i="1"/>
  <c r="D75" i="1"/>
  <c r="D56" i="1"/>
  <c r="D57" i="1"/>
  <c r="D24" i="1"/>
  <c r="D85" i="1"/>
  <c r="D92" i="1"/>
  <c r="D55" i="1"/>
  <c r="D99" i="1"/>
  <c r="D60" i="1"/>
  <c r="D70" i="1"/>
  <c r="D89" i="1"/>
  <c r="D23" i="1"/>
  <c r="D28" i="1"/>
  <c r="D19" i="1"/>
  <c r="D52" i="1"/>
  <c r="D16" i="1"/>
  <c r="D46" i="1"/>
  <c r="D91" i="1"/>
  <c r="D33" i="1"/>
  <c r="E89" i="1" l="1"/>
  <c r="E33" i="1"/>
  <c r="E70" i="1"/>
  <c r="E91" i="1"/>
  <c r="E60" i="1"/>
  <c r="E46" i="1"/>
  <c r="E99" i="1"/>
  <c r="E16" i="1"/>
  <c r="E55" i="1"/>
  <c r="E52" i="1"/>
  <c r="E92" i="1"/>
  <c r="E19" i="1"/>
  <c r="E85" i="1"/>
  <c r="E75" i="1"/>
  <c r="E24" i="1"/>
  <c r="E28" i="1"/>
  <c r="E57" i="1"/>
  <c r="E23" i="1"/>
  <c r="E56" i="1"/>
  <c r="E1" i="1" l="1"/>
  <c r="C2" i="1" s="1"/>
</calcChain>
</file>

<file path=xl/connections.xml><?xml version="1.0" encoding="utf-8"?>
<connections xmlns="http://schemas.openxmlformats.org/spreadsheetml/2006/main">
  <connection id="1" name="Connection" type="4" refreshedVersion="4" saveData="1">
    <webPr sourceData="1" parsePre="1" consecutive="1" xl2000="1" url="https://www.support.unisys.com/common/epa/macro.aspx?path0=all&amp;path1=srp&amp;path2=web-icforrel&amp;system-release=mcp-013.0&amp;pla=C71&amp;nav=LIB800" htmlTables="1">
      <tables count="1">
        <x v="8"/>
      </tables>
    </webPr>
  </connection>
</connections>
</file>

<file path=xl/sharedStrings.xml><?xml version="1.0" encoding="utf-8"?>
<sst xmlns="http://schemas.openxmlformats.org/spreadsheetml/2006/main" count="954" uniqueCount="241">
  <si>
    <t>PRODUCT</t>
  </si>
  <si>
    <t>LAST CHECKED IC</t>
  </si>
  <si>
    <t>NEWEST IC</t>
  </si>
  <si>
    <t>URL FOR NEW PLE DOCUMENTS</t>
  </si>
  <si>
    <t>Product</t>
  </si>
  <si>
    <t>IC Level</t>
  </si>
  <si>
    <t>Date IC Available</t>
  </si>
  <si>
    <t xml:space="preserve">ADDS </t>
  </si>
  <si>
    <t xml:space="preserve">054.1A.3 </t>
  </si>
  <si>
    <t xml:space="preserve">August 3, 2010 </t>
  </si>
  <si>
    <t xml:space="preserve">ALGOL </t>
  </si>
  <si>
    <t xml:space="preserve">054.1A.10 </t>
  </si>
  <si>
    <t xml:space="preserve">December 4, 2012 </t>
  </si>
  <si>
    <t xml:space="preserve">APP-DATA-ACCESS </t>
  </si>
  <si>
    <t xml:space="preserve">054.1A.6 </t>
  </si>
  <si>
    <t xml:space="preserve">March 20, 2013 </t>
  </si>
  <si>
    <t xml:space="preserve">ASSISTANT </t>
  </si>
  <si>
    <t xml:space="preserve">054.1A.8 </t>
  </si>
  <si>
    <t xml:space="preserve">May 23, 2012 </t>
  </si>
  <si>
    <t xml:space="preserve">BCMANAGER </t>
  </si>
  <si>
    <t xml:space="preserve">054.1A.53 </t>
  </si>
  <si>
    <t xml:space="preserve">May 10, 2013 </t>
  </si>
  <si>
    <t xml:space="preserve">BINDER </t>
  </si>
  <si>
    <t xml:space="preserve">054.1A.2 </t>
  </si>
  <si>
    <t xml:space="preserve">July 27, 2011 </t>
  </si>
  <si>
    <t xml:space="preserve">C </t>
  </si>
  <si>
    <t xml:space="preserve">June 13, 2011 </t>
  </si>
  <si>
    <t xml:space="preserve">CANDE </t>
  </si>
  <si>
    <t xml:space="preserve">054.1A.13 </t>
  </si>
  <si>
    <t xml:space="preserve">March 13, 2013 </t>
  </si>
  <si>
    <t xml:space="preserve">CCF </t>
  </si>
  <si>
    <t xml:space="preserve">054.1A.27 </t>
  </si>
  <si>
    <t xml:space="preserve">February 28, 2013 </t>
  </si>
  <si>
    <t xml:space="preserve">CENTRALSUPP </t>
  </si>
  <si>
    <t xml:space="preserve">054.1A.1 </t>
  </si>
  <si>
    <t xml:space="preserve">August 18, 2011 </t>
  </si>
  <si>
    <t xml:space="preserve">CLEARPATHEPORTAL </t>
  </si>
  <si>
    <t xml:space="preserve">COBOL74 </t>
  </si>
  <si>
    <t xml:space="preserve">054.1A.9 </t>
  </si>
  <si>
    <t xml:space="preserve">March 29, 2013 </t>
  </si>
  <si>
    <t xml:space="preserve">COBOL85 </t>
  </si>
  <si>
    <t xml:space="preserve">054.1A.21 </t>
  </si>
  <si>
    <t xml:space="preserve">COMPARE </t>
  </si>
  <si>
    <t xml:space="preserve">November 11, 2010 </t>
  </si>
  <si>
    <t xml:space="preserve">COMS (TXN-SERVER) </t>
  </si>
  <si>
    <t xml:space="preserve">054.1A.14 </t>
  </si>
  <si>
    <t xml:space="preserve">November 7, 2012 </t>
  </si>
  <si>
    <t xml:space="preserve">COMTI </t>
  </si>
  <si>
    <t xml:space="preserve">013.0A.6 </t>
  </si>
  <si>
    <t xml:space="preserve">November 30, 2011 </t>
  </si>
  <si>
    <t xml:space="preserve">CONFIGURAT </t>
  </si>
  <si>
    <t xml:space="preserve">January 7, 2011 </t>
  </si>
  <si>
    <t xml:space="preserve">CONNECTORPSH </t>
  </si>
  <si>
    <t xml:space="preserve">054.1A.5 </t>
  </si>
  <si>
    <t xml:space="preserve">January 3, 2013 </t>
  </si>
  <si>
    <t xml:space="preserve">DALICENSESUPPORT </t>
  </si>
  <si>
    <t xml:space="preserve">September 21, 2010 </t>
  </si>
  <si>
    <t xml:space="preserve">DBCERTIFICATION </t>
  </si>
  <si>
    <t xml:space="preserve">DEPCON (OUTPUT-MGR) </t>
  </si>
  <si>
    <t xml:space="preserve">8.0.4IC </t>
  </si>
  <si>
    <t xml:space="preserve">July 20, 2012 </t>
  </si>
  <si>
    <t xml:space="preserve">8.1.3IC </t>
  </si>
  <si>
    <t xml:space="preserve">9.0.3IC </t>
  </si>
  <si>
    <t xml:space="preserve">January 21, 2013 </t>
  </si>
  <si>
    <t xml:space="preserve">DMINQUIRY </t>
  </si>
  <si>
    <t xml:space="preserve">July 18, 2012 </t>
  </si>
  <si>
    <t xml:space="preserve">DMINTERPRETER </t>
  </si>
  <si>
    <t xml:space="preserve">DMSII (DB-SVR-MCP) </t>
  </si>
  <si>
    <t xml:space="preserve">054.1A.68 </t>
  </si>
  <si>
    <t xml:space="preserve">DMSQL </t>
  </si>
  <si>
    <t xml:space="preserve">013.0A.21 </t>
  </si>
  <si>
    <t xml:space="preserve">March 21, 2013 </t>
  </si>
  <si>
    <t xml:space="preserve">DSS </t>
  </si>
  <si>
    <t xml:space="preserve">December 7, 2011 </t>
  </si>
  <si>
    <t xml:space="preserve">DTI </t>
  </si>
  <si>
    <t xml:space="preserve">11.1.9 </t>
  </si>
  <si>
    <t xml:space="preserve">October 12, 2011 </t>
  </si>
  <si>
    <t xml:space="preserve">DTP </t>
  </si>
  <si>
    <t xml:space="preserve">January 21, 2011 </t>
  </si>
  <si>
    <t xml:space="preserve">DUMPALL </t>
  </si>
  <si>
    <t xml:space="preserve">DUMPANALYZER </t>
  </si>
  <si>
    <t xml:space="preserve">054.1A.23 </t>
  </si>
  <si>
    <t xml:space="preserve">EDITOR </t>
  </si>
  <si>
    <t xml:space="preserve">April 6, 2011 </t>
  </si>
  <si>
    <t xml:space="preserve">EMAIL </t>
  </si>
  <si>
    <t xml:space="preserve">054.1A.11 </t>
  </si>
  <si>
    <t xml:space="preserve">November 2, 2012 </t>
  </si>
  <si>
    <t xml:space="preserve">ERGO </t>
  </si>
  <si>
    <t xml:space="preserve">August 31, 2011 </t>
  </si>
  <si>
    <t xml:space="preserve">EVASUPPORT </t>
  </si>
  <si>
    <t xml:space="preserve">June 8, 2012 </t>
  </si>
  <si>
    <t xml:space="preserve">FILECOPY </t>
  </si>
  <si>
    <t xml:space="preserve">September 27, 2011 </t>
  </si>
  <si>
    <t xml:space="preserve">FILEDATA </t>
  </si>
  <si>
    <t xml:space="preserve">April 10, 2013 </t>
  </si>
  <si>
    <t xml:space="preserve">FORTRAN77 </t>
  </si>
  <si>
    <t xml:space="preserve">November 9, 2010 </t>
  </si>
  <si>
    <t xml:space="preserve">FTP </t>
  </si>
  <si>
    <t xml:space="preserve">054.1A.16 </t>
  </si>
  <si>
    <t xml:space="preserve">April 30, 2013 </t>
  </si>
  <si>
    <t xml:space="preserve">GENERALSUPPORT </t>
  </si>
  <si>
    <t xml:space="preserve">August 30, 2012 </t>
  </si>
  <si>
    <t xml:space="preserve">HMPFASTPATH-CIA </t>
  </si>
  <si>
    <t xml:space="preserve">013.0A.19 </t>
  </si>
  <si>
    <t xml:space="preserve">March 14, 2013 </t>
  </si>
  <si>
    <t xml:space="preserve">INFOACCESS (ODBCACCESS) </t>
  </si>
  <si>
    <t xml:space="preserve">February 20, 2013 </t>
  </si>
  <si>
    <t xml:space="preserve">INFOEXEC </t>
  </si>
  <si>
    <t xml:space="preserve">INSTALL-ASST-MCP </t>
  </si>
  <si>
    <t xml:space="preserve">013.0A.1 </t>
  </si>
  <si>
    <t xml:space="preserve">February 3, 2010 </t>
  </si>
  <si>
    <t xml:space="preserve">IOHANDLERS (IOH) </t>
  </si>
  <si>
    <t xml:space="preserve">July 6, 2010 </t>
  </si>
  <si>
    <t xml:space="preserve">J2EE-CON-OPENDTP </t>
  </si>
  <si>
    <t xml:space="preserve">13.0.0.10 </t>
  </si>
  <si>
    <t xml:space="preserve">May 27, 2011 </t>
  </si>
  <si>
    <t xml:space="preserve">JBOSS-MCP (JBOSSMCP) </t>
  </si>
  <si>
    <t xml:space="preserve">4.3.0A.8 </t>
  </si>
  <si>
    <t xml:space="preserve">JDBCFORMCP-TYPE4 (JDBC-TYPE4) </t>
  </si>
  <si>
    <t xml:space="preserve">013.0A.8 </t>
  </si>
  <si>
    <t xml:space="preserve">December 1, 2011 </t>
  </si>
  <si>
    <t xml:space="preserve">JRAC </t>
  </si>
  <si>
    <t xml:space="preserve">013.0A.12 </t>
  </si>
  <si>
    <t xml:space="preserve">July 24, 2012 </t>
  </si>
  <si>
    <t xml:space="preserve">KEYEDIO </t>
  </si>
  <si>
    <t xml:space="preserve">July 19, 2011 </t>
  </si>
  <si>
    <t xml:space="preserve">KEYEDIOII </t>
  </si>
  <si>
    <t xml:space="preserve">March 18, 2013 </t>
  </si>
  <si>
    <t xml:space="preserve">LICENSECENTER </t>
  </si>
  <si>
    <t xml:space="preserve">054.1A.12 </t>
  </si>
  <si>
    <t xml:space="preserve">February 8, 2013 </t>
  </si>
  <si>
    <t xml:space="preserve">LOAD-UTILS </t>
  </si>
  <si>
    <t xml:space="preserve">January 28, 2013 </t>
  </si>
  <si>
    <t xml:space="preserve">LOG-TOOLS </t>
  </si>
  <si>
    <t xml:space="preserve">054.1A.34 </t>
  </si>
  <si>
    <t xml:space="preserve">April 17, 2013 </t>
  </si>
  <si>
    <t xml:space="preserve">MARC </t>
  </si>
  <si>
    <t xml:space="preserve">March 22, 2013 </t>
  </si>
  <si>
    <t xml:space="preserve">MCP </t>
  </si>
  <si>
    <t xml:space="preserve">054.1A.116 </t>
  </si>
  <si>
    <t xml:space="preserve">April 18, 2013 </t>
  </si>
  <si>
    <t xml:space="preserve">MCP-TAPESTACK </t>
  </si>
  <si>
    <t xml:space="preserve">May 4, 2012 </t>
  </si>
  <si>
    <t xml:space="preserve">MCP-WORKLOADMGR (MCP-WLM) </t>
  </si>
  <si>
    <t xml:space="preserve">013.0A.50 </t>
  </si>
  <si>
    <t xml:space="preserve">MCPESR </t>
  </si>
  <si>
    <t xml:space="preserve">December 17, 2012 </t>
  </si>
  <si>
    <t xml:space="preserve">MCPINFO </t>
  </si>
  <si>
    <t xml:space="preserve">013.0A.2 </t>
  </si>
  <si>
    <t xml:space="preserve">January 26, 2011 </t>
  </si>
  <si>
    <t xml:space="preserve">MCPJAVA </t>
  </si>
  <si>
    <t xml:space="preserve">054.1A.39 </t>
  </si>
  <si>
    <t xml:space="preserve">April 26, 2013 </t>
  </si>
  <si>
    <t xml:space="preserve">MCPPRT </t>
  </si>
  <si>
    <t xml:space="preserve">February 26, 2013 </t>
  </si>
  <si>
    <t xml:space="preserve">MCPSERVER </t>
  </si>
  <si>
    <t xml:space="preserve">March 2, 2012 </t>
  </si>
  <si>
    <t xml:space="preserve">MLS </t>
  </si>
  <si>
    <t xml:space="preserve">October 21, 2011 </t>
  </si>
  <si>
    <t xml:space="preserve">MQMCP </t>
  </si>
  <si>
    <t xml:space="preserve">December 6, 2011 </t>
  </si>
  <si>
    <t xml:space="preserve">NETWORKSUPPORT </t>
  </si>
  <si>
    <t xml:space="preserve">October 2, 2012 </t>
  </si>
  <si>
    <t xml:space="preserve">NEWP </t>
  </si>
  <si>
    <t xml:space="preserve">October 18, 2011 </t>
  </si>
  <si>
    <t xml:space="preserve">NX/ATLAS (WEB-TS-MCP) </t>
  </si>
  <si>
    <t xml:space="preserve">013.0A.15 </t>
  </si>
  <si>
    <t xml:space="preserve">NX/COMSCENTER (TXN-CENTER) </t>
  </si>
  <si>
    <t xml:space="preserve">February 25, 2013 </t>
  </si>
  <si>
    <t xml:space="preserve">NX/DBCENTER (DB-OPS-CENTER) </t>
  </si>
  <si>
    <t xml:space="preserve">013.0A.22 </t>
  </si>
  <si>
    <t xml:space="preserve">April 25, 2012 </t>
  </si>
  <si>
    <t xml:space="preserve">NX/EDIT (PW-MCP) </t>
  </si>
  <si>
    <t xml:space="preserve">April 5, 2013 </t>
  </si>
  <si>
    <t xml:space="preserve">NX/INSTALLCENTER (INSTALL-CENTER) </t>
  </si>
  <si>
    <t xml:space="preserve">054.1A.17 </t>
  </si>
  <si>
    <t xml:space="preserve">November 28, 2012 </t>
  </si>
  <si>
    <t xml:space="preserve">NX/NET (NETWORK-SERVICES) </t>
  </si>
  <si>
    <t xml:space="preserve">NX/OPCENTER (OPS-CENTER) </t>
  </si>
  <si>
    <t xml:space="preserve">March 1, 2011 </t>
  </si>
  <si>
    <t xml:space="preserve">NX/PRINTCENTER (PRINT-CENTER) </t>
  </si>
  <si>
    <t xml:space="preserve">NX/SERVICES (CLIENT-ACC-SVCS) </t>
  </si>
  <si>
    <t xml:space="preserve">013.0A.14 </t>
  </si>
  <si>
    <t xml:space="preserve">April 19, 2013 </t>
  </si>
  <si>
    <t xml:space="preserve">NX/WEBSTATION (WEB-ENABLE-MCP) </t>
  </si>
  <si>
    <t xml:space="preserve">013.0A.25 </t>
  </si>
  <si>
    <t xml:space="preserve">May 14, 2013 </t>
  </si>
  <si>
    <t xml:space="preserve">OLEDB </t>
  </si>
  <si>
    <t xml:space="preserve">March 25, 2013 </t>
  </si>
  <si>
    <t xml:space="preserve">OSI-TP </t>
  </si>
  <si>
    <t xml:space="preserve">March 1, 2012 </t>
  </si>
  <si>
    <t xml:space="preserve">PASCAL83 </t>
  </si>
  <si>
    <t xml:space="preserve">July 21, 2011 </t>
  </si>
  <si>
    <t xml:space="preserve">PDIR </t>
  </si>
  <si>
    <t xml:space="preserve">April 30, 2012 </t>
  </si>
  <si>
    <t xml:space="preserve">PRINTS </t>
  </si>
  <si>
    <t xml:space="preserve">RDB </t>
  </si>
  <si>
    <t xml:space="preserve">RESOLVER </t>
  </si>
  <si>
    <t xml:space="preserve">September 12, 2012 </t>
  </si>
  <si>
    <t xml:space="preserve">RMSUPPORT </t>
  </si>
  <si>
    <t xml:space="preserve">RPG </t>
  </si>
  <si>
    <t xml:space="preserve">October 20, 2011 </t>
  </si>
  <si>
    <t xml:space="preserve">SAN-DATAMOVER </t>
  </si>
  <si>
    <t xml:space="preserve">054.1A.33 </t>
  </si>
  <si>
    <t xml:space="preserve">SDASUPPORT </t>
  </si>
  <si>
    <t xml:space="preserve">SDF </t>
  </si>
  <si>
    <t xml:space="preserve">July 10, 2012 </t>
  </si>
  <si>
    <t xml:space="preserve">SDFPLUS </t>
  </si>
  <si>
    <t xml:space="preserve">January 31, 2013 </t>
  </si>
  <si>
    <t xml:space="preserve">SECURE-TRANSPORT </t>
  </si>
  <si>
    <t xml:space="preserve">January 15, 2013 </t>
  </si>
  <si>
    <t xml:space="preserve">SECURITY </t>
  </si>
  <si>
    <t xml:space="preserve">054.1A.42 </t>
  </si>
  <si>
    <t xml:space="preserve">January 30, 2013 </t>
  </si>
  <si>
    <t xml:space="preserve">SECURITYCENTER </t>
  </si>
  <si>
    <t xml:space="preserve">013.0A.34 </t>
  </si>
  <si>
    <t xml:space="preserve">March 15, 2013 </t>
  </si>
  <si>
    <t xml:space="preserve">SIMPLEINSTALL </t>
  </si>
  <si>
    <t xml:space="preserve">SOFTCOMP </t>
  </si>
  <si>
    <t xml:space="preserve">August 16, 2012 </t>
  </si>
  <si>
    <t xml:space="preserve">SP-OPERATION (OP SENTINEL) </t>
  </si>
  <si>
    <t xml:space="preserve">11.1.8 </t>
  </si>
  <si>
    <t xml:space="preserve">November 29, 2011 </t>
  </si>
  <si>
    <t xml:space="preserve">12.0.7 </t>
  </si>
  <si>
    <t xml:space="preserve">TELNET </t>
  </si>
  <si>
    <t xml:space="preserve">March 27, 2012 </t>
  </si>
  <si>
    <t xml:space="preserve">TIME </t>
  </si>
  <si>
    <t xml:space="preserve">June 17, 2011 </t>
  </si>
  <si>
    <t xml:space="preserve">WEBCOMPONENTS </t>
  </si>
  <si>
    <t xml:space="preserve">WFL </t>
  </si>
  <si>
    <t xml:space="preserve">April 5, 2012 </t>
  </si>
  <si>
    <t xml:space="preserve">WIN-RPC </t>
  </si>
  <si>
    <t xml:space="preserve">XLATEEBCDIC </t>
  </si>
  <si>
    <t xml:space="preserve">054.1A.18 </t>
  </si>
  <si>
    <t>NEW IC(s)</t>
  </si>
  <si>
    <t xml:space="preserve">013.0A.55 </t>
  </si>
  <si>
    <t xml:space="preserve">May 17, 2013 </t>
  </si>
  <si>
    <t>Local Datastore Last Updated:</t>
  </si>
  <si>
    <t>PRIMUS Database Last Checked:</t>
  </si>
  <si>
    <t>20/05/2013 17:31:46</t>
  </si>
  <si>
    <t>21/05/2013 12:31:06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</si>
</sst>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008000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rgb="FF993366"/>
      <name val="Calibri"/>
      <family val="2"/>
    </font>
    <font>
      <b/>
      <sz val="16"/>
      <color rgb="FFFF66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1" fillId="4" borderId="0" applyNumberFormat="0" applyBorder="0" applyAlignment="0" applyProtection="0"/>
    <xf numFmtId="0" fontId="8" fillId="5" borderId="0" applyNumberFormat="0" applyBorder="0" applyAlignment="0" applyProtection="0"/>
    <xf numFmtId="0" fontId="1" fillId="6" borderId="0" applyNumberFormat="0" applyBorder="0" applyAlignment="0" applyProtection="0"/>
    <xf numFmtId="0" fontId="8" fillId="7" borderId="0" applyNumberFormat="0" applyBorder="0" applyAlignment="0" applyProtection="0"/>
  </cellStyleXfs>
  <cellXfs count="24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3" borderId="0" xfId="0" applyNumberFormat="1" applyFill="1" applyAlignment="1">
      <alignment vertical="top" wrapText="1"/>
    </xf>
    <xf numFmtId="0" fontId="0" fillId="0" borderId="0" xfId="0" applyFont="1" applyFill="1"/>
    <xf numFmtId="0" fontId="0" fillId="3" borderId="0" xfId="0" applyNumberFormat="1" applyFill="1" applyAlignment="1">
      <alignment vertical="top"/>
    </xf>
    <xf numFmtId="0" fontId="3" fillId="0" borderId="0" xfId="2" applyAlignment="1">
      <alignment vertical="top" wrapText="1"/>
    </xf>
    <xf numFmtId="0" fontId="1" fillId="2" borderId="0" xfId="1" applyNumberFormat="1" applyAlignment="1">
      <alignment vertical="top"/>
    </xf>
    <xf numFmtId="0" fontId="3" fillId="2" borderId="0" xfId="2" applyNumberFormat="1" applyFill="1" applyAlignment="1">
      <alignment vertical="top"/>
    </xf>
    <xf numFmtId="0" fontId="3" fillId="0" borderId="0" xfId="2" applyNumberFormat="1" applyAlignment="1">
      <alignment vertical="top" wrapText="1"/>
    </xf>
    <xf numFmtId="0" fontId="3" fillId="3" borderId="0" xfId="2" applyNumberFormat="1" applyFill="1" applyAlignment="1">
      <alignment vertical="top" wrapText="1"/>
    </xf>
    <xf numFmtId="0" fontId="4" fillId="0" borderId="0" xfId="0" applyNumberFormat="1" applyFont="1" applyAlignment="1">
      <alignment vertical="top" wrapText="1"/>
    </xf>
    <xf numFmtId="0" fontId="5" fillId="2" borderId="0" xfId="1" applyNumberFormat="1" applyFont="1" applyAlignment="1">
      <alignment vertical="top" wrapText="1"/>
    </xf>
    <xf numFmtId="0" fontId="9" fillId="2" borderId="0" xfId="1" applyNumberFormat="1" applyFont="1" applyAlignment="1">
      <alignment horizontal="left" vertical="center"/>
    </xf>
    <xf numFmtId="0" fontId="4" fillId="3" borderId="0" xfId="0" applyNumberFormat="1" applyFont="1" applyFill="1" applyAlignment="1">
      <alignment vertical="top"/>
    </xf>
    <xf numFmtId="0" fontId="4" fillId="0" borderId="0" xfId="0" applyNumberFormat="1" applyFont="1" applyAlignment="1">
      <alignment vertical="top"/>
    </xf>
    <xf numFmtId="0" fontId="1" fillId="2" borderId="0" xfId="1" applyNumberFormat="1" applyAlignment="1">
      <alignment horizontal="left" vertical="center"/>
    </xf>
    <xf numFmtId="0" fontId="9" fillId="2" borderId="0" xfId="1" applyNumberFormat="1" applyFont="1" applyAlignment="1">
      <alignment vertical="top"/>
    </xf>
    <xf numFmtId="0" fontId="9" fillId="2" borderId="0" xfId="1" applyNumberFormat="1" applyFont="1" applyAlignment="1">
      <alignment horizontal="center" vertical="center"/>
    </xf>
    <xf numFmtId="0" fontId="9" fillId="4" borderId="1" xfId="3" applyNumberFormat="1" applyFont="1" applyBorder="1" applyAlignment="1">
      <alignment horizontal="right" vertical="center"/>
    </xf>
    <xf numFmtId="164" fontId="4" fillId="5" borderId="2" xfId="4" applyNumberFormat="1" applyFont="1" applyBorder="1" applyAlignment="1">
      <alignment horizontal="center" vertical="center"/>
    </xf>
    <xf numFmtId="0" fontId="9" fillId="6" borderId="1" xfId="5" applyNumberFormat="1" applyFont="1" applyBorder="1" applyAlignment="1">
      <alignment horizontal="right" vertical="center"/>
    </xf>
    <xf numFmtId="164" fontId="4" fillId="7" borderId="2" xfId="6" applyNumberFormat="1" applyFont="1" applyBorder="1" applyAlignment="1">
      <alignment horizontal="center" vertical="center"/>
    </xf>
  </cellXfs>
  <cellStyles count="7">
    <cellStyle name="40% - Accent1" xfId="4" builtinId="31"/>
    <cellStyle name="40% - Accent3" xfId="6" builtinId="39"/>
    <cellStyle name="Accent1" xfId="3" builtinId="29"/>
    <cellStyle name="Accent3" xfId="5" builtinId="37"/>
    <cellStyle name="Accent4" xfId="1" builtinId="41"/>
    <cellStyle name="Hyperlink" xfId="2" builtinId="8"/>
    <cellStyle name="Normal" xfId="0" builtinId="0"/>
  </cellStyles>
  <dxfs count="7"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indent="0" justifyLastLine="0" shrinkToFit="0" readingOrder="0"/>
    </dxf>
    <dxf>
      <numFmt numFmtId="0" formatCode="General"/>
      <alignment horizontal="general" vertical="top" textRotation="0" indent="0" justifyLastLine="0" shrinkToFit="0" readingOrder="0"/>
    </dxf>
    <dxf>
      <numFmt numFmtId="0" formatCode="General"/>
      <alignment horizontal="general" vertical="top" textRotation="0" indent="0" justifyLastLine="0" shrinkToFit="0" readingOrder="0"/>
    </dxf>
    <dxf>
      <numFmt numFmtId="0" formatCode="General"/>
      <alignment horizontal="general" vertical="top" textRotation="0" indent="0" justifyLastLine="0" shrinkToFit="0" readingOrder="0"/>
    </dxf>
    <dxf>
      <numFmt numFmtId="0" formatCode="General"/>
      <alignment horizontal="general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Click to check for updates from Unisys PRIMUS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9525</xdr:rowOff>
        </xdr:from>
        <xdr:to>
          <xdr:col>4</xdr:col>
          <xdr:colOff>5829300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Update Local Datastore with current IC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</xdr:rowOff>
        </xdr:from>
        <xdr:to>
          <xdr:col>4</xdr:col>
          <xdr:colOff>9525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Hide products with no updates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Primus" backgroundRefresh="0" growShrinkType="overwriteClear" preserveFormatting="0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le2" displayName="Table2" ref="A4:E108" totalsRowShown="0" headerRowDxfId="6" dataDxfId="5">
  <autoFilter ref="A4:E108">
    <filterColumn colId="4">
      <customFilters>
        <customFilter val="http*"/>
      </customFilters>
    </filterColumn>
  </autoFilter>
  <tableColumns count="5">
    <tableColumn id="1" name="PRODUCT" dataDxfId="4">
      <calculatedColumnFormula>Query_Res!A2</calculatedColumnFormula>
    </tableColumn>
    <tableColumn id="2" name="LAST CHECKED IC" dataDxfId="3">
      <calculatedColumnFormula>CONCATENATE(LEFT(TRIM(A5),FIND(" ",A5,1)-1),"-",TRIM(PREV_FIXES!B2))</calculatedColumnFormula>
    </tableColumn>
    <tableColumn id="3" name="NEWEST IC" dataDxfId="2">
      <calculatedColumnFormula>CONCATENATE(LEFT(TRIM(A5),FIND(" ",A5,1)-1),"-",TRIM(NEW_FIXES!B2))</calculatedColumnFormula>
    </tableColumn>
    <tableColumn id="4" name="NEW IC(s)" dataDxfId="1">
      <calculatedColumnFormula>UnisysGetICs(B5,C5)</calculatedColumnFormula>
    </tableColumn>
    <tableColumn id="5" name="URL FOR NEW PLE DOCUMENTS" dataDxfId="0" dataCellStyle="Hyperlink">
      <calculatedColumnFormula>IF(NOT(D5=""),HYPERLINK(CONCATENATE("https://www.support.unisys.com/common/epa/macro.aspx?path0=a-s&amp;path1=ple&amp;path2=web-select&amp;SELECT=PLE-PLE-TO-IC+eq+ ",D5,"&amp;TITLE=PLE(s)+since+IC:+",B5)),"")</calculatedColumnFormula>
    </tableColumn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7" tint="-0.249977111117893"/>
    <pageSetUpPr fitToPage="1"/>
  </sheetPr>
  <dimension ref="A1:F111"/>
  <sheetViews>
    <sheetView tabSelected="1" zoomScale="85" zoomScaleNormal="85" workbookViewId="0">
      <pane ySplit="4" topLeftCell="A5" activePane="bottomLeft" state="frozenSplit"/>
      <selection pane="bottomLeft" activeCell="A4" sqref="A4"/>
    </sheetView>
  </sheetViews>
  <sheetFormatPr defaultColWidth="40.7109375" defaultRowHeight="15" x14ac:dyDescent="0.25"/>
  <cols>
    <col min="1" max="1" width="35.7109375" style="3" bestFit="1" customWidth="1"/>
    <col min="2" max="2" width="30.140625" style="3" bestFit="1" customWidth="1"/>
    <col min="3" max="3" width="31.85546875" style="3" bestFit="1" customWidth="1"/>
    <col min="4" max="4" width="82.140625" style="3" bestFit="1" customWidth="1"/>
    <col min="5" max="5" width="87.5703125" style="10" customWidth="1"/>
    <col min="6" max="6" width="40.7109375" style="6"/>
    <col min="7" max="16384" width="40.7109375" style="3"/>
  </cols>
  <sheetData>
    <row r="1" spans="1:6" ht="16.5" thickBot="1" x14ac:dyDescent="0.3">
      <c r="A1" s="18"/>
      <c r="B1" s="18"/>
      <c r="C1" s="18"/>
      <c r="D1" s="14"/>
      <c r="E1" s="9">
        <f>COUNTIF(E5:E108,"http*")</f>
        <v>0</v>
      </c>
    </row>
    <row r="2" spans="1:6" s="16" customFormat="1" ht="16.5" thickBot="1" x14ac:dyDescent="0.3">
      <c r="A2" s="20" t="s">
        <v>238</v>
      </c>
      <c r="B2" s="21" t="s">
        <v>239</v>
      </c>
      <c r="C2" s="19" t="str">
        <f>CONCATENATE("Updates found: ",E1)</f>
        <v>Updates found: 0</v>
      </c>
      <c r="D2" s="17"/>
      <c r="E2" s="8"/>
      <c r="F2" s="15"/>
    </row>
    <row r="3" spans="1:6" s="16" customFormat="1" ht="16.5" thickBot="1" x14ac:dyDescent="0.3">
      <c r="A3" s="22" t="s">
        <v>237</v>
      </c>
      <c r="B3" s="23" t="s">
        <v>240</v>
      </c>
      <c r="C3" s="19"/>
      <c r="D3" s="17"/>
      <c r="E3" s="8"/>
      <c r="F3" s="15"/>
    </row>
    <row r="4" spans="1:6" s="2" customFormat="1" ht="15.75" x14ac:dyDescent="0.25">
      <c r="A4" s="12" t="s">
        <v>0</v>
      </c>
      <c r="B4" s="12" t="s">
        <v>1</v>
      </c>
      <c r="C4" s="12" t="s">
        <v>2</v>
      </c>
      <c r="D4" s="12" t="s">
        <v>234</v>
      </c>
      <c r="E4" s="13" t="s">
        <v>3</v>
      </c>
      <c r="F4" s="4"/>
    </row>
    <row r="5" spans="1:6" hidden="1" x14ac:dyDescent="0.25">
      <c r="A5" s="3" t="str">
        <f>Query_Res!A2</f>
        <v xml:space="preserve">ADDS </v>
      </c>
      <c r="B5" s="3" t="str">
        <f>CONCATENATE(LEFT(TRIM(A5),FIND(" ",A5,1)-1),"-",TRIM(PREV_FIXES!B2))</f>
        <v>ADDS-054.1A.3</v>
      </c>
      <c r="C5" s="3" t="str">
        <f>CONCATENATE(LEFT(TRIM(A5),FIND(" ",A5,1)-1),"-",TRIM(NEW_FIXES!B2))</f>
        <v>ADDS-054.1A.3</v>
      </c>
      <c r="D5" s="3" t="str">
        <f t="shared" ref="D5:D36" si="0">UnisysGetICs(B5,C5)</f>
        <v/>
      </c>
      <c r="E5" s="7" t="str">
        <f t="shared" ref="E5:E36" si="1">IF(NOT(D5=""),HYPERLINK(CONCATENATE("https://www.support.unisys.com/common/epa/macro.aspx?path0=a-s&amp;path1=ple&amp;path2=web-select&amp;SELECT=PLE-PLE-TO-IC+eq+ ",D5,"&amp;TITLE=PLE(s)+since+IC:+",B5)),"")</f>
        <v/>
      </c>
    </row>
    <row r="6" spans="1:6" hidden="1" x14ac:dyDescent="0.25">
      <c r="A6" s="3" t="str">
        <f>Query_Res!A3</f>
        <v xml:space="preserve">ALGOL </v>
      </c>
      <c r="B6" s="3" t="str">
        <f>CONCATENATE(LEFT(TRIM(A6),FIND(" ",A6,1)-1),"-",TRIM(PREV_FIXES!B3))</f>
        <v>ALGOL-054.1A.10</v>
      </c>
      <c r="C6" s="3" t="str">
        <f>CONCATENATE(LEFT(TRIM(A6),FIND(" ",A6,1)-1),"-",TRIM(NEW_FIXES!B3))</f>
        <v>ALGOL-054.1A.10</v>
      </c>
      <c r="D6" s="3" t="str">
        <f t="shared" si="0"/>
        <v/>
      </c>
      <c r="E6" s="7" t="str">
        <f t="shared" si="1"/>
        <v/>
      </c>
    </row>
    <row r="7" spans="1:6" hidden="1" x14ac:dyDescent="0.25">
      <c r="A7" s="3" t="str">
        <f>Query_Res!A4</f>
        <v xml:space="preserve">APP-DATA-ACCESS </v>
      </c>
      <c r="B7" s="3" t="str">
        <f>CONCATENATE(LEFT(TRIM(A7),FIND(" ",A7,1)-1),"-",TRIM(PREV_FIXES!B4))</f>
        <v>APP-DATA-ACCESS-054.1A.6</v>
      </c>
      <c r="C7" s="3" t="str">
        <f>CONCATENATE(LEFT(TRIM(A7),FIND(" ",A7,1)-1),"-",TRIM(NEW_FIXES!B4))</f>
        <v>APP-DATA-ACCESS-054.1A.6</v>
      </c>
      <c r="D7" s="3" t="str">
        <f t="shared" si="0"/>
        <v/>
      </c>
      <c r="E7" s="7" t="str">
        <f t="shared" si="1"/>
        <v/>
      </c>
    </row>
    <row r="8" spans="1:6" hidden="1" x14ac:dyDescent="0.25">
      <c r="A8" s="3" t="str">
        <f>Query_Res!A5</f>
        <v xml:space="preserve">ASSISTANT </v>
      </c>
      <c r="B8" s="3" t="str">
        <f>CONCATENATE(LEFT(TRIM(A8),FIND(" ",A8,1)-1),"-",TRIM(PREV_FIXES!B5))</f>
        <v>ASSISTANT-054.1A.8</v>
      </c>
      <c r="C8" s="3" t="str">
        <f>CONCATENATE(LEFT(TRIM(A8),FIND(" ",A8,1)-1),"-",TRIM(NEW_FIXES!B5))</f>
        <v>ASSISTANT-054.1A.8</v>
      </c>
      <c r="D8" s="3" t="str">
        <f t="shared" si="0"/>
        <v/>
      </c>
      <c r="E8" s="7" t="str">
        <f t="shared" si="1"/>
        <v/>
      </c>
    </row>
    <row r="9" spans="1:6" hidden="1" x14ac:dyDescent="0.25">
      <c r="A9" s="3" t="str">
        <f>Query_Res!A6</f>
        <v xml:space="preserve">BCMANAGER </v>
      </c>
      <c r="B9" s="3" t="str">
        <f>CONCATENATE(LEFT(TRIM(A9),FIND(" ",A9,1)-1),"-",TRIM(PREV_FIXES!B6))</f>
        <v>BCMANAGER-054.1A.53</v>
      </c>
      <c r="C9" s="3" t="str">
        <f>CONCATENATE(LEFT(TRIM(A9),FIND(" ",A9,1)-1),"-",TRIM(NEW_FIXES!B6))</f>
        <v>BCMANAGER-054.1A.53</v>
      </c>
      <c r="D9" s="3" t="str">
        <f t="shared" si="0"/>
        <v/>
      </c>
      <c r="E9" s="7" t="str">
        <f t="shared" si="1"/>
        <v/>
      </c>
    </row>
    <row r="10" spans="1:6" hidden="1" x14ac:dyDescent="0.25">
      <c r="A10" s="3" t="str">
        <f>Query_Res!A7</f>
        <v xml:space="preserve">BINDER </v>
      </c>
      <c r="B10" s="3" t="str">
        <f>CONCATENATE(LEFT(TRIM(A10),FIND(" ",A10,1)-1),"-",TRIM(PREV_FIXES!B7))</f>
        <v>BINDER-054.1A.2</v>
      </c>
      <c r="C10" s="3" t="str">
        <f>CONCATENATE(LEFT(TRIM(A10),FIND(" ",A10,1)-1),"-",TRIM(NEW_FIXES!B7))</f>
        <v>BINDER-054.1A.2</v>
      </c>
      <c r="D10" s="3" t="str">
        <f t="shared" si="0"/>
        <v/>
      </c>
      <c r="E10" s="7" t="str">
        <f t="shared" si="1"/>
        <v/>
      </c>
    </row>
    <row r="11" spans="1:6" hidden="1" x14ac:dyDescent="0.25">
      <c r="A11" s="3" t="str">
        <f>Query_Res!A8</f>
        <v xml:space="preserve">C </v>
      </c>
      <c r="B11" s="3" t="str">
        <f>CONCATENATE(LEFT(TRIM(A11),FIND(" ",A11,1)-1),"-",TRIM(PREV_FIXES!B8))</f>
        <v>C-054.1A.2</v>
      </c>
      <c r="C11" s="3" t="str">
        <f>CONCATENATE(LEFT(TRIM(A11),FIND(" ",A11,1)-1),"-",TRIM(NEW_FIXES!B8))</f>
        <v>C-054.1A.2</v>
      </c>
      <c r="D11" s="3" t="str">
        <f t="shared" si="0"/>
        <v/>
      </c>
      <c r="E11" s="7" t="str">
        <f t="shared" si="1"/>
        <v/>
      </c>
    </row>
    <row r="12" spans="1:6" hidden="1" x14ac:dyDescent="0.25">
      <c r="A12" s="3" t="str">
        <f>Query_Res!A9</f>
        <v xml:space="preserve">CANDE </v>
      </c>
      <c r="B12" s="3" t="str">
        <f>CONCATENATE(LEFT(TRIM(A12),FIND(" ",A12,1)-1),"-",TRIM(PREV_FIXES!B9))</f>
        <v>CANDE-054.1A.13</v>
      </c>
      <c r="C12" s="3" t="str">
        <f>CONCATENATE(LEFT(TRIM(A12),FIND(" ",A12,1)-1),"-",TRIM(NEW_FIXES!B9))</f>
        <v>CANDE-054.1A.13</v>
      </c>
      <c r="D12" s="3" t="str">
        <f t="shared" si="0"/>
        <v/>
      </c>
      <c r="E12" s="7" t="str">
        <f t="shared" si="1"/>
        <v/>
      </c>
    </row>
    <row r="13" spans="1:6" hidden="1" x14ac:dyDescent="0.25">
      <c r="A13" s="3" t="str">
        <f>Query_Res!A10</f>
        <v xml:space="preserve">CCF </v>
      </c>
      <c r="B13" s="3" t="str">
        <f>CONCATENATE(LEFT(TRIM(A13),FIND(" ",A13,1)-1),"-",TRIM(PREV_FIXES!B10))</f>
        <v>CCF-054.1A.27</v>
      </c>
      <c r="C13" s="3" t="str">
        <f>CONCATENATE(LEFT(TRIM(A13),FIND(" ",A13,1)-1),"-",TRIM(NEW_FIXES!B10))</f>
        <v>CCF-054.1A.27</v>
      </c>
      <c r="D13" s="3" t="str">
        <f t="shared" si="0"/>
        <v/>
      </c>
      <c r="E13" s="7" t="str">
        <f t="shared" si="1"/>
        <v/>
      </c>
    </row>
    <row r="14" spans="1:6" hidden="1" x14ac:dyDescent="0.25">
      <c r="A14" s="3" t="str">
        <f>Query_Res!A11</f>
        <v xml:space="preserve">CENTRALSUPP </v>
      </c>
      <c r="B14" s="3" t="str">
        <f>CONCATENATE(LEFT(TRIM(A14),FIND(" ",A14,1)-1),"-",TRIM(PREV_FIXES!B11))</f>
        <v>CENTRALSUPP-054.1A.1</v>
      </c>
      <c r="C14" s="3" t="str">
        <f>CONCATENATE(LEFT(TRIM(A14),FIND(" ",A14,1)-1),"-",TRIM(NEW_FIXES!B11))</f>
        <v>CENTRALSUPP-054.1A.1</v>
      </c>
      <c r="D14" s="3" t="str">
        <f t="shared" si="0"/>
        <v/>
      </c>
      <c r="E14" s="7" t="str">
        <f t="shared" si="1"/>
        <v/>
      </c>
    </row>
    <row r="15" spans="1:6" hidden="1" x14ac:dyDescent="0.25">
      <c r="A15" s="3" t="str">
        <f>Query_Res!A12</f>
        <v xml:space="preserve">CLEARPATHEPORTAL </v>
      </c>
      <c r="B15" s="3" t="str">
        <f>CONCATENATE(LEFT(TRIM(A15),FIND(" ",A15,1)-1),"-",TRIM(PREV_FIXES!B12))</f>
        <v>CLEARPATHEPORTAL-013.0A.55</v>
      </c>
      <c r="C15" s="3" t="str">
        <f>CONCATENATE(LEFT(TRIM(A15),FIND(" ",A15,1)-1),"-",TRIM(NEW_FIXES!B12))</f>
        <v>CLEARPATHEPORTAL-013.0A.55</v>
      </c>
      <c r="D15" s="3" t="str">
        <f t="shared" si="0"/>
        <v/>
      </c>
      <c r="E15" s="7" t="str">
        <f t="shared" si="1"/>
        <v/>
      </c>
    </row>
    <row r="16" spans="1:6" hidden="1" x14ac:dyDescent="0.25">
      <c r="A16" s="3" t="str">
        <f>Query_Res!A13</f>
        <v xml:space="preserve">COBOL74 </v>
      </c>
      <c r="B16" s="3" t="str">
        <f>CONCATENATE(LEFT(TRIM(A16),FIND(" ",A16,1)-1),"-",TRIM(PREV_FIXES!B13))</f>
        <v>COBOL74-054.1A.9</v>
      </c>
      <c r="C16" s="3" t="str">
        <f>CONCATENATE(LEFT(TRIM(A16),FIND(" ",A16,1)-1),"-",TRIM(NEW_FIXES!B13))</f>
        <v>COBOL74-054.1A.9</v>
      </c>
      <c r="D16" s="3" t="str">
        <f t="shared" si="0"/>
        <v/>
      </c>
      <c r="E16" s="7" t="str">
        <f t="shared" si="1"/>
        <v/>
      </c>
    </row>
    <row r="17" spans="1:5" hidden="1" x14ac:dyDescent="0.25">
      <c r="A17" s="3" t="str">
        <f>Query_Res!A14</f>
        <v xml:space="preserve">COBOL85 </v>
      </c>
      <c r="B17" s="3" t="str">
        <f>CONCATENATE(LEFT(TRIM(A17),FIND(" ",A17,1)-1),"-",TRIM(PREV_FIXES!B14))</f>
        <v>COBOL85-054.1A.21</v>
      </c>
      <c r="C17" s="3" t="str">
        <f>CONCATENATE(LEFT(TRIM(A17),FIND(" ",A17,1)-1),"-",TRIM(NEW_FIXES!B14))</f>
        <v>COBOL85-054.1A.21</v>
      </c>
      <c r="D17" s="3" t="str">
        <f t="shared" si="0"/>
        <v/>
      </c>
      <c r="E17" s="7" t="str">
        <f t="shared" si="1"/>
        <v/>
      </c>
    </row>
    <row r="18" spans="1:5" hidden="1" x14ac:dyDescent="0.25">
      <c r="A18" s="3" t="str">
        <f>Query_Res!A15</f>
        <v xml:space="preserve">COMPARE </v>
      </c>
      <c r="B18" s="3" t="str">
        <f>CONCATENATE(LEFT(TRIM(A18),FIND(" ",A18,1)-1),"-",TRIM(PREV_FIXES!B15))</f>
        <v>COMPARE-054.1A.1</v>
      </c>
      <c r="C18" s="3" t="str">
        <f>CONCATENATE(LEFT(TRIM(A18),FIND(" ",A18,1)-1),"-",TRIM(NEW_FIXES!B15))</f>
        <v>COMPARE-054.1A.1</v>
      </c>
      <c r="D18" s="3" t="str">
        <f t="shared" si="0"/>
        <v/>
      </c>
      <c r="E18" s="7" t="str">
        <f t="shared" si="1"/>
        <v/>
      </c>
    </row>
    <row r="19" spans="1:5" hidden="1" x14ac:dyDescent="0.25">
      <c r="A19" s="3" t="str">
        <f>Query_Res!A16</f>
        <v xml:space="preserve">COMS (TXN-SERVER) </v>
      </c>
      <c r="B19" s="3" t="str">
        <f>CONCATENATE(LEFT(TRIM(A19),FIND(" ",A19,1)-1),"-",TRIM(PREV_FIXES!B16))</f>
        <v>COMS-054.1A.14</v>
      </c>
      <c r="C19" s="3" t="str">
        <f>CONCATENATE(LEFT(TRIM(A19),FIND(" ",A19,1)-1),"-",TRIM(NEW_FIXES!B16))</f>
        <v>COMS-054.1A.14</v>
      </c>
      <c r="D19" s="3" t="str">
        <f t="shared" si="0"/>
        <v/>
      </c>
      <c r="E19" s="7" t="str">
        <f t="shared" si="1"/>
        <v/>
      </c>
    </row>
    <row r="20" spans="1:5" hidden="1" x14ac:dyDescent="0.25">
      <c r="A20" s="3" t="str">
        <f>Query_Res!A17</f>
        <v xml:space="preserve">COMTI </v>
      </c>
      <c r="B20" s="3" t="str">
        <f>CONCATENATE(LEFT(TRIM(A20),FIND(" ",A20,1)-1),"-",TRIM(PREV_FIXES!B17))</f>
        <v>COMTI-013.0A.6</v>
      </c>
      <c r="C20" s="3" t="str">
        <f>CONCATENATE(LEFT(TRIM(A20),FIND(" ",A20,1)-1),"-",TRIM(NEW_FIXES!B17))</f>
        <v>COMTI-013.0A.6</v>
      </c>
      <c r="D20" s="3" t="str">
        <f t="shared" si="0"/>
        <v/>
      </c>
      <c r="E20" s="7" t="str">
        <f t="shared" si="1"/>
        <v/>
      </c>
    </row>
    <row r="21" spans="1:5" hidden="1" x14ac:dyDescent="0.25">
      <c r="A21" s="3" t="str">
        <f>Query_Res!A18</f>
        <v xml:space="preserve">CONFIGURAT </v>
      </c>
      <c r="B21" s="3" t="str">
        <f>CONCATENATE(LEFT(TRIM(A21),FIND(" ",A21,1)-1),"-",TRIM(PREV_FIXES!B18))</f>
        <v>CONFIGURAT-054.1A.2</v>
      </c>
      <c r="C21" s="3" t="str">
        <f>CONCATENATE(LEFT(TRIM(A21),FIND(" ",A21,1)-1),"-",TRIM(NEW_FIXES!B18))</f>
        <v>CONFIGURAT-054.1A.2</v>
      </c>
      <c r="D21" s="3" t="str">
        <f t="shared" si="0"/>
        <v/>
      </c>
      <c r="E21" s="7" t="str">
        <f t="shared" si="1"/>
        <v/>
      </c>
    </row>
    <row r="22" spans="1:5" hidden="1" x14ac:dyDescent="0.25">
      <c r="A22" s="3" t="str">
        <f>Query_Res!A19</f>
        <v xml:space="preserve">CONNECTORPSH </v>
      </c>
      <c r="B22" s="3" t="str">
        <f>CONCATENATE(LEFT(TRIM(A22),FIND(" ",A22,1)-1),"-",TRIM(PREV_FIXES!B19))</f>
        <v>CONNECTORPSH-054.1A.5</v>
      </c>
      <c r="C22" s="3" t="str">
        <f>CONCATENATE(LEFT(TRIM(A22),FIND(" ",A22,1)-1),"-",TRIM(NEW_FIXES!B19))</f>
        <v>CONNECTORPSH-054.1A.5</v>
      </c>
      <c r="D22" s="3" t="str">
        <f t="shared" si="0"/>
        <v/>
      </c>
      <c r="E22" s="7" t="str">
        <f t="shared" si="1"/>
        <v/>
      </c>
    </row>
    <row r="23" spans="1:5" hidden="1" x14ac:dyDescent="0.25">
      <c r="A23" s="3" t="str">
        <f>Query_Res!A20</f>
        <v xml:space="preserve">DALICENSESUPPORT </v>
      </c>
      <c r="B23" s="3" t="str">
        <f>CONCATENATE(LEFT(TRIM(A23),FIND(" ",A23,1)-1),"-",TRIM(PREV_FIXES!B20))</f>
        <v>DALICENSESUPPORT-054.1A.1</v>
      </c>
      <c r="C23" s="3" t="str">
        <f>CONCATENATE(LEFT(TRIM(A23),FIND(" ",A23,1)-1),"-",TRIM(NEW_FIXES!B20))</f>
        <v>DALICENSESUPPORT-054.1A.1</v>
      </c>
      <c r="D23" s="3" t="str">
        <f t="shared" si="0"/>
        <v/>
      </c>
      <c r="E23" s="7" t="str">
        <f t="shared" si="1"/>
        <v/>
      </c>
    </row>
    <row r="24" spans="1:5" hidden="1" x14ac:dyDescent="0.25">
      <c r="A24" s="3" t="str">
        <f>Query_Res!A21</f>
        <v xml:space="preserve">DBCERTIFICATION </v>
      </c>
      <c r="B24" s="3" t="str">
        <f>CONCATENATE(LEFT(TRIM(A24),FIND(" ",A24,1)-1),"-",TRIM(PREV_FIXES!B21))</f>
        <v>DBCERTIFICATION-054.1A.3</v>
      </c>
      <c r="C24" s="3" t="str">
        <f>CONCATENATE(LEFT(TRIM(A24),FIND(" ",A24,1)-1),"-",TRIM(NEW_FIXES!B21))</f>
        <v>DBCERTIFICATION-054.1A.3</v>
      </c>
      <c r="D24" s="3" t="str">
        <f t="shared" si="0"/>
        <v/>
      </c>
      <c r="E24" s="7" t="str">
        <f t="shared" si="1"/>
        <v/>
      </c>
    </row>
    <row r="25" spans="1:5" hidden="1" x14ac:dyDescent="0.25">
      <c r="A25" s="3" t="str">
        <f>Query_Res!A22</f>
        <v xml:space="preserve">DEPCON (OUTPUT-MGR) </v>
      </c>
      <c r="B25" s="3" t="str">
        <f>CONCATENATE(LEFT(TRIM(A25),FIND(" ",A25,1)-1),"-",TRIM(PREV_FIXES!B22))</f>
        <v>DEPCON-8.0.4IC</v>
      </c>
      <c r="C25" s="3" t="str">
        <f>CONCATENATE(LEFT(TRIM(A25),FIND(" ",A25,1)-1),"-",TRIM(NEW_FIXES!B22))</f>
        <v>DEPCON-8.0.4IC</v>
      </c>
      <c r="D25" s="3" t="str">
        <f t="shared" si="0"/>
        <v/>
      </c>
      <c r="E25" s="7" t="str">
        <f t="shared" si="1"/>
        <v/>
      </c>
    </row>
    <row r="26" spans="1:5" hidden="1" x14ac:dyDescent="0.25">
      <c r="A26" s="3" t="str">
        <f>Query_Res!A23</f>
        <v xml:space="preserve">DEPCON (OUTPUT-MGR) </v>
      </c>
      <c r="B26" s="3" t="str">
        <f>CONCATENATE(LEFT(TRIM(A26),FIND(" ",A26,1)-1),"-",TRIM(PREV_FIXES!B23))</f>
        <v>DEPCON-8.1.3IC</v>
      </c>
      <c r="C26" s="3" t="str">
        <f>CONCATENATE(LEFT(TRIM(A26),FIND(" ",A26,1)-1),"-",TRIM(NEW_FIXES!B23))</f>
        <v>DEPCON-8.1.3IC</v>
      </c>
      <c r="D26" s="3" t="str">
        <f t="shared" si="0"/>
        <v/>
      </c>
      <c r="E26" s="7" t="str">
        <f t="shared" si="1"/>
        <v/>
      </c>
    </row>
    <row r="27" spans="1:5" hidden="1" x14ac:dyDescent="0.25">
      <c r="A27" s="3" t="str">
        <f>Query_Res!A24</f>
        <v xml:space="preserve">DEPCON (OUTPUT-MGR) </v>
      </c>
      <c r="B27" s="3" t="str">
        <f>CONCATENATE(LEFT(TRIM(A27),FIND(" ",A27,1)-1),"-",TRIM(PREV_FIXES!B24))</f>
        <v>DEPCON-9.0.3IC</v>
      </c>
      <c r="C27" s="3" t="str">
        <f>CONCATENATE(LEFT(TRIM(A27),FIND(" ",A27,1)-1),"-",TRIM(NEW_FIXES!B24))</f>
        <v>DEPCON-9.0.3IC</v>
      </c>
      <c r="D27" s="3" t="str">
        <f t="shared" si="0"/>
        <v/>
      </c>
      <c r="E27" s="7" t="str">
        <f t="shared" si="1"/>
        <v/>
      </c>
    </row>
    <row r="28" spans="1:5" hidden="1" x14ac:dyDescent="0.25">
      <c r="A28" s="3" t="str">
        <f>Query_Res!A25</f>
        <v xml:space="preserve">DMINQUIRY </v>
      </c>
      <c r="B28" s="3" t="str">
        <f>CONCATENATE(LEFT(TRIM(A28),FIND(" ",A28,1)-1),"-",TRIM(PREV_FIXES!B25))</f>
        <v>DMINQUIRY-054.1A.5</v>
      </c>
      <c r="C28" s="3" t="str">
        <f>CONCATENATE(LEFT(TRIM(A28),FIND(" ",A28,1)-1),"-",TRIM(NEW_FIXES!B25))</f>
        <v>DMINQUIRY-054.1A.5</v>
      </c>
      <c r="D28" s="3" t="str">
        <f t="shared" si="0"/>
        <v/>
      </c>
      <c r="E28" s="7" t="str">
        <f t="shared" si="1"/>
        <v/>
      </c>
    </row>
    <row r="29" spans="1:5" hidden="1" x14ac:dyDescent="0.25">
      <c r="A29" s="3" t="str">
        <f>Query_Res!A26</f>
        <v xml:space="preserve">DMINTERPRETER </v>
      </c>
      <c r="B29" s="3" t="str">
        <f>CONCATENATE(LEFT(TRIM(A29),FIND(" ",A29,1)-1),"-",TRIM(PREV_FIXES!B26))</f>
        <v>DMINTERPRETER-054.1A.5</v>
      </c>
      <c r="C29" s="3" t="str">
        <f>CONCATENATE(LEFT(TRIM(A29),FIND(" ",A29,1)-1),"-",TRIM(NEW_FIXES!B26))</f>
        <v>DMINTERPRETER-054.1A.5</v>
      </c>
      <c r="D29" s="3" t="str">
        <f t="shared" si="0"/>
        <v/>
      </c>
      <c r="E29" s="7" t="str">
        <f t="shared" si="1"/>
        <v/>
      </c>
    </row>
    <row r="30" spans="1:5" hidden="1" x14ac:dyDescent="0.25">
      <c r="A30" s="3" t="str">
        <f>Query_Res!A27</f>
        <v xml:space="preserve">DMSII (DB-SVR-MCP) </v>
      </c>
      <c r="B30" s="3" t="str">
        <f>CONCATENATE(LEFT(TRIM(A30),FIND(" ",A30,1)-1),"-",TRIM(PREV_FIXES!B27))</f>
        <v>DMSII-054.1A.68</v>
      </c>
      <c r="C30" s="3" t="str">
        <f>CONCATENATE(LEFT(TRIM(A30),FIND(" ",A30,1)-1),"-",TRIM(NEW_FIXES!B27))</f>
        <v>DMSII-054.1A.68</v>
      </c>
      <c r="D30" s="3" t="str">
        <f t="shared" si="0"/>
        <v/>
      </c>
      <c r="E30" s="7" t="str">
        <f t="shared" si="1"/>
        <v/>
      </c>
    </row>
    <row r="31" spans="1:5" hidden="1" x14ac:dyDescent="0.25">
      <c r="A31" s="3" t="str">
        <f>Query_Res!A28</f>
        <v xml:space="preserve">DMSQL </v>
      </c>
      <c r="B31" s="3" t="str">
        <f>CONCATENATE(LEFT(TRIM(A31),FIND(" ",A31,1)-1),"-",TRIM(PREV_FIXES!B28))</f>
        <v>DMSQL-013.0A.21</v>
      </c>
      <c r="C31" s="3" t="str">
        <f>CONCATENATE(LEFT(TRIM(A31),FIND(" ",A31,1)-1),"-",TRIM(NEW_FIXES!B28))</f>
        <v>DMSQL-013.0A.21</v>
      </c>
      <c r="D31" s="3" t="str">
        <f t="shared" si="0"/>
        <v/>
      </c>
      <c r="E31" s="7" t="str">
        <f t="shared" si="1"/>
        <v/>
      </c>
    </row>
    <row r="32" spans="1:5" hidden="1" x14ac:dyDescent="0.25">
      <c r="A32" s="3" t="str">
        <f>Query_Res!A29</f>
        <v xml:space="preserve">DSS </v>
      </c>
      <c r="B32" s="3" t="str">
        <f>CONCATENATE(LEFT(TRIM(A32),FIND(" ",A32,1)-1),"-",TRIM(PREV_FIXES!B29))</f>
        <v>DSS-054.1A.6</v>
      </c>
      <c r="C32" s="3" t="str">
        <f>CONCATENATE(LEFT(TRIM(A32),FIND(" ",A32,1)-1),"-",TRIM(NEW_FIXES!B29))</f>
        <v>DSS-054.1A.6</v>
      </c>
      <c r="D32" s="3" t="str">
        <f t="shared" si="0"/>
        <v/>
      </c>
      <c r="E32" s="7" t="str">
        <f t="shared" si="1"/>
        <v/>
      </c>
    </row>
    <row r="33" spans="1:5" hidden="1" x14ac:dyDescent="0.25">
      <c r="A33" s="3" t="str">
        <f>Query_Res!A30</f>
        <v xml:space="preserve">DTI </v>
      </c>
      <c r="B33" s="3" t="str">
        <f>CONCATENATE(LEFT(TRIM(A33),FIND(" ",A33,1)-1),"-",TRIM(PREV_FIXES!B30))</f>
        <v>DTI-11.1.9</v>
      </c>
      <c r="C33" s="3" t="str">
        <f>CONCATENATE(LEFT(TRIM(A33),FIND(" ",A33,1)-1),"-",TRIM(NEW_FIXES!B30))</f>
        <v>DTI-11.1.9</v>
      </c>
      <c r="D33" s="3" t="str">
        <f t="shared" si="0"/>
        <v/>
      </c>
      <c r="E33" s="7" t="str">
        <f t="shared" si="1"/>
        <v/>
      </c>
    </row>
    <row r="34" spans="1:5" hidden="1" x14ac:dyDescent="0.25">
      <c r="A34" s="3" t="str">
        <f>Query_Res!A31</f>
        <v xml:space="preserve">DTP </v>
      </c>
      <c r="B34" s="3" t="str">
        <f>CONCATENATE(LEFT(TRIM(A34),FIND(" ",A34,1)-1),"-",TRIM(PREV_FIXES!B31))</f>
        <v>DTP-054.1A.2</v>
      </c>
      <c r="C34" s="3" t="str">
        <f>CONCATENATE(LEFT(TRIM(A34),FIND(" ",A34,1)-1),"-",TRIM(NEW_FIXES!B31))</f>
        <v>DTP-054.1A.2</v>
      </c>
      <c r="D34" s="3" t="str">
        <f t="shared" si="0"/>
        <v/>
      </c>
      <c r="E34" s="7" t="str">
        <f t="shared" si="1"/>
        <v/>
      </c>
    </row>
    <row r="35" spans="1:5" hidden="1" x14ac:dyDescent="0.25">
      <c r="A35" s="3" t="str">
        <f>Query_Res!A32</f>
        <v xml:space="preserve">DUMPALL </v>
      </c>
      <c r="B35" s="3" t="str">
        <f>CONCATENATE(LEFT(TRIM(A35),FIND(" ",A35,1)-1),"-",TRIM(PREV_FIXES!B32))</f>
        <v>DUMPALL-054.1A.1</v>
      </c>
      <c r="C35" s="3" t="str">
        <f>CONCATENATE(LEFT(TRIM(A35),FIND(" ",A35,1)-1),"-",TRIM(NEW_FIXES!B32))</f>
        <v>DUMPALL-054.1A.1</v>
      </c>
      <c r="D35" s="3" t="str">
        <f t="shared" si="0"/>
        <v/>
      </c>
      <c r="E35" s="7" t="str">
        <f t="shared" si="1"/>
        <v/>
      </c>
    </row>
    <row r="36" spans="1:5" hidden="1" x14ac:dyDescent="0.25">
      <c r="A36" s="3" t="str">
        <f>Query_Res!A33</f>
        <v xml:space="preserve">DUMPANALYZER </v>
      </c>
      <c r="B36" s="3" t="str">
        <f>CONCATENATE(LEFT(TRIM(A36),FIND(" ",A36,1)-1),"-",TRIM(PREV_FIXES!B33))</f>
        <v>DUMPANALYZER-054.1A.23</v>
      </c>
      <c r="C36" s="3" t="str">
        <f>CONCATENATE(LEFT(TRIM(A36),FIND(" ",A36,1)-1),"-",TRIM(NEW_FIXES!B33))</f>
        <v>DUMPANALYZER-054.1A.23</v>
      </c>
      <c r="D36" s="3" t="str">
        <f t="shared" si="0"/>
        <v/>
      </c>
      <c r="E36" s="7" t="str">
        <f t="shared" si="1"/>
        <v/>
      </c>
    </row>
    <row r="37" spans="1:5" hidden="1" x14ac:dyDescent="0.25">
      <c r="A37" s="3" t="str">
        <f>Query_Res!A34</f>
        <v xml:space="preserve">EDITOR </v>
      </c>
      <c r="B37" s="3" t="str">
        <f>CONCATENATE(LEFT(TRIM(A37),FIND(" ",A37,1)-1),"-",TRIM(PREV_FIXES!B34))</f>
        <v>EDITOR-054.1A.1</v>
      </c>
      <c r="C37" s="3" t="str">
        <f>CONCATENATE(LEFT(TRIM(A37),FIND(" ",A37,1)-1),"-",TRIM(NEW_FIXES!B34))</f>
        <v>EDITOR-054.1A.1</v>
      </c>
      <c r="D37" s="3" t="str">
        <f t="shared" ref="D37:D68" si="2">UnisysGetICs(B37,C37)</f>
        <v/>
      </c>
      <c r="E37" s="7" t="str">
        <f t="shared" ref="E37:E68" si="3">IF(NOT(D37=""),HYPERLINK(CONCATENATE("https://www.support.unisys.com/common/epa/macro.aspx?path0=a-s&amp;path1=ple&amp;path2=web-select&amp;SELECT=PLE-PLE-TO-IC+eq+ ",D37,"&amp;TITLE=PLE(s)+since+IC:+",B37)),"")</f>
        <v/>
      </c>
    </row>
    <row r="38" spans="1:5" hidden="1" x14ac:dyDescent="0.25">
      <c r="A38" s="3" t="str">
        <f>Query_Res!A35</f>
        <v xml:space="preserve">EMAIL </v>
      </c>
      <c r="B38" s="3" t="str">
        <f>CONCATENATE(LEFT(TRIM(A38),FIND(" ",A38,1)-1),"-",TRIM(PREV_FIXES!B35))</f>
        <v>EMAIL-054.1A.11</v>
      </c>
      <c r="C38" s="3" t="str">
        <f>CONCATENATE(LEFT(TRIM(A38),FIND(" ",A38,1)-1),"-",TRIM(NEW_FIXES!B35))</f>
        <v>EMAIL-054.1A.11</v>
      </c>
      <c r="D38" s="3" t="str">
        <f t="shared" si="2"/>
        <v/>
      </c>
      <c r="E38" s="7" t="str">
        <f t="shared" si="3"/>
        <v/>
      </c>
    </row>
    <row r="39" spans="1:5" hidden="1" x14ac:dyDescent="0.25">
      <c r="A39" s="3" t="str">
        <f>Query_Res!A36</f>
        <v xml:space="preserve">ERGO </v>
      </c>
      <c r="B39" s="3" t="str">
        <f>CONCATENATE(LEFT(TRIM(A39),FIND(" ",A39,1)-1),"-",TRIM(PREV_FIXES!B36))</f>
        <v>ERGO-054.1A.2</v>
      </c>
      <c r="C39" s="3" t="str">
        <f>CONCATENATE(LEFT(TRIM(A39),FIND(" ",A39,1)-1),"-",TRIM(NEW_FIXES!B36))</f>
        <v>ERGO-054.1A.2</v>
      </c>
      <c r="D39" s="3" t="str">
        <f t="shared" si="2"/>
        <v/>
      </c>
      <c r="E39" s="7" t="str">
        <f t="shared" si="3"/>
        <v/>
      </c>
    </row>
    <row r="40" spans="1:5" hidden="1" x14ac:dyDescent="0.25">
      <c r="A40" s="3" t="str">
        <f>Query_Res!A37</f>
        <v xml:space="preserve">EVASUPPORT </v>
      </c>
      <c r="B40" s="3" t="str">
        <f>CONCATENATE(LEFT(TRIM(A40),FIND(" ",A40,1)-1),"-",TRIM(PREV_FIXES!B37))</f>
        <v>EVASUPPORT-054.1A.6</v>
      </c>
      <c r="C40" s="3" t="str">
        <f>CONCATENATE(LEFT(TRIM(A40),FIND(" ",A40,1)-1),"-",TRIM(NEW_FIXES!B37))</f>
        <v>EVASUPPORT-054.1A.6</v>
      </c>
      <c r="D40" s="3" t="str">
        <f t="shared" si="2"/>
        <v/>
      </c>
      <c r="E40" s="7" t="str">
        <f t="shared" si="3"/>
        <v/>
      </c>
    </row>
    <row r="41" spans="1:5" hidden="1" x14ac:dyDescent="0.25">
      <c r="A41" s="3" t="str">
        <f>Query_Res!A38</f>
        <v xml:space="preserve">FILECOPY </v>
      </c>
      <c r="B41" s="3" t="str">
        <f>CONCATENATE(LEFT(TRIM(A41),FIND(" ",A41,1)-1),"-",TRIM(PREV_FIXES!B38))</f>
        <v>FILECOPY-054.1A.1</v>
      </c>
      <c r="C41" s="3" t="str">
        <f>CONCATENATE(LEFT(TRIM(A41),FIND(" ",A41,1)-1),"-",TRIM(NEW_FIXES!B38))</f>
        <v>FILECOPY-054.1A.1</v>
      </c>
      <c r="D41" s="3" t="str">
        <f t="shared" si="2"/>
        <v/>
      </c>
      <c r="E41" s="7" t="str">
        <f t="shared" si="3"/>
        <v/>
      </c>
    </row>
    <row r="42" spans="1:5" hidden="1" x14ac:dyDescent="0.25">
      <c r="A42" s="3" t="str">
        <f>Query_Res!A39</f>
        <v xml:space="preserve">FILEDATA </v>
      </c>
      <c r="B42" s="3" t="str">
        <f>CONCATENATE(LEFT(TRIM(A42),FIND(" ",A42,1)-1),"-",TRIM(PREV_FIXES!B39))</f>
        <v>FILEDATA-054.1A.6</v>
      </c>
      <c r="C42" s="3" t="str">
        <f>CONCATENATE(LEFT(TRIM(A42),FIND(" ",A42,1)-1),"-",TRIM(NEW_FIXES!B39))</f>
        <v>FILEDATA-054.1A.6</v>
      </c>
      <c r="D42" s="3" t="str">
        <f t="shared" si="2"/>
        <v/>
      </c>
      <c r="E42" s="7" t="str">
        <f t="shared" si="3"/>
        <v/>
      </c>
    </row>
    <row r="43" spans="1:5" hidden="1" x14ac:dyDescent="0.25">
      <c r="A43" s="3" t="str">
        <f>Query_Res!A40</f>
        <v xml:space="preserve">FORTRAN77 </v>
      </c>
      <c r="B43" s="3" t="str">
        <f>CONCATENATE(LEFT(TRIM(A43),FIND(" ",A43,1)-1),"-",TRIM(PREV_FIXES!B40))</f>
        <v>FORTRAN77-054.1A.3</v>
      </c>
      <c r="C43" s="3" t="str">
        <f>CONCATENATE(LEFT(TRIM(A43),FIND(" ",A43,1)-1),"-",TRIM(NEW_FIXES!B40))</f>
        <v>FORTRAN77-054.1A.3</v>
      </c>
      <c r="D43" s="3" t="str">
        <f t="shared" si="2"/>
        <v/>
      </c>
      <c r="E43" s="7" t="str">
        <f t="shared" si="3"/>
        <v/>
      </c>
    </row>
    <row r="44" spans="1:5" hidden="1" x14ac:dyDescent="0.25">
      <c r="A44" s="3" t="str">
        <f>Query_Res!A41</f>
        <v xml:space="preserve">FTP </v>
      </c>
      <c r="B44" s="3" t="str">
        <f>CONCATENATE(LEFT(TRIM(A44),FIND(" ",A44,1)-1),"-",TRIM(PREV_FIXES!B41))</f>
        <v>FTP-054.1A.16</v>
      </c>
      <c r="C44" s="3" t="str">
        <f>CONCATENATE(LEFT(TRIM(A44),FIND(" ",A44,1)-1),"-",TRIM(NEW_FIXES!B41))</f>
        <v>FTP-054.1A.16</v>
      </c>
      <c r="D44" s="3" t="str">
        <f t="shared" si="2"/>
        <v/>
      </c>
      <c r="E44" s="7" t="str">
        <f t="shared" si="3"/>
        <v/>
      </c>
    </row>
    <row r="45" spans="1:5" hidden="1" x14ac:dyDescent="0.25">
      <c r="A45" s="3" t="str">
        <f>Query_Res!A42</f>
        <v xml:space="preserve">GENERALSUPPORT </v>
      </c>
      <c r="B45" s="3" t="str">
        <f>CONCATENATE(LEFT(TRIM(A45),FIND(" ",A45,1)-1),"-",TRIM(PREV_FIXES!B42))</f>
        <v>GENERALSUPPORT-054.1A.2</v>
      </c>
      <c r="C45" s="3" t="str">
        <f>CONCATENATE(LEFT(TRIM(A45),FIND(" ",A45,1)-1),"-",TRIM(NEW_FIXES!B42))</f>
        <v>GENERALSUPPORT-054.1A.2</v>
      </c>
      <c r="D45" s="3" t="str">
        <f t="shared" si="2"/>
        <v/>
      </c>
      <c r="E45" s="7" t="str">
        <f t="shared" si="3"/>
        <v/>
      </c>
    </row>
    <row r="46" spans="1:5" hidden="1" x14ac:dyDescent="0.25">
      <c r="A46" s="3" t="str">
        <f>Query_Res!A43</f>
        <v xml:space="preserve">HMPFASTPATH-CIA </v>
      </c>
      <c r="B46" s="3" t="str">
        <f>CONCATENATE(LEFT(TRIM(A46),FIND(" ",A46,1)-1),"-",TRIM(PREV_FIXES!B43))</f>
        <v>HMPFASTPATH-CIA-013.0A.19</v>
      </c>
      <c r="C46" s="3" t="str">
        <f>CONCATENATE(LEFT(TRIM(A46),FIND(" ",A46,1)-1),"-",TRIM(NEW_FIXES!B43))</f>
        <v>HMPFASTPATH-CIA-013.0A.19</v>
      </c>
      <c r="D46" s="3" t="str">
        <f t="shared" si="2"/>
        <v/>
      </c>
      <c r="E46" s="7" t="str">
        <f t="shared" si="3"/>
        <v/>
      </c>
    </row>
    <row r="47" spans="1:5" hidden="1" x14ac:dyDescent="0.25">
      <c r="A47" s="3" t="str">
        <f>Query_Res!A44</f>
        <v xml:space="preserve">INFOACCESS (ODBCACCESS) </v>
      </c>
      <c r="B47" s="3" t="str">
        <f>CONCATENATE(LEFT(TRIM(A47),FIND(" ",A47,1)-1),"-",TRIM(PREV_FIXES!B44))</f>
        <v>INFOACCESS-054.1A.23</v>
      </c>
      <c r="C47" s="3" t="str">
        <f>CONCATENATE(LEFT(TRIM(A47),FIND(" ",A47,1)-1),"-",TRIM(NEW_FIXES!B44))</f>
        <v>INFOACCESS-054.1A.23</v>
      </c>
      <c r="D47" s="3" t="str">
        <f t="shared" si="2"/>
        <v/>
      </c>
      <c r="E47" s="7" t="str">
        <f t="shared" si="3"/>
        <v/>
      </c>
    </row>
    <row r="48" spans="1:5" hidden="1" x14ac:dyDescent="0.25">
      <c r="A48" s="3" t="str">
        <f>Query_Res!A45</f>
        <v xml:space="preserve">INFOEXEC </v>
      </c>
      <c r="B48" s="3" t="str">
        <f>CONCATENATE(LEFT(TRIM(A48),FIND(" ",A48,1)-1),"-",TRIM(PREV_FIXES!B45))</f>
        <v>INFOEXEC-054.1A.3</v>
      </c>
      <c r="C48" s="3" t="str">
        <f>CONCATENATE(LEFT(TRIM(A48),FIND(" ",A48,1)-1),"-",TRIM(NEW_FIXES!B45))</f>
        <v>INFOEXEC-054.1A.3</v>
      </c>
      <c r="D48" s="3" t="str">
        <f t="shared" si="2"/>
        <v/>
      </c>
      <c r="E48" s="7" t="str">
        <f t="shared" si="3"/>
        <v/>
      </c>
    </row>
    <row r="49" spans="1:5" hidden="1" x14ac:dyDescent="0.25">
      <c r="A49" s="3" t="str">
        <f>Query_Res!A46</f>
        <v xml:space="preserve">INSTALL-ASST-MCP </v>
      </c>
      <c r="B49" s="3" t="str">
        <f>CONCATENATE(LEFT(TRIM(A49),FIND(" ",A49,1)-1),"-",TRIM(PREV_FIXES!B46))</f>
        <v>INSTALL-ASST-MCP-013.0A.1</v>
      </c>
      <c r="C49" s="3" t="str">
        <f>CONCATENATE(LEFT(TRIM(A49),FIND(" ",A49,1)-1),"-",TRIM(NEW_FIXES!B46))</f>
        <v>INSTALL-ASST-MCP-013.0A.1</v>
      </c>
      <c r="D49" s="3" t="str">
        <f t="shared" si="2"/>
        <v/>
      </c>
      <c r="E49" s="7" t="str">
        <f t="shared" si="3"/>
        <v/>
      </c>
    </row>
    <row r="50" spans="1:5" hidden="1" x14ac:dyDescent="0.25">
      <c r="A50" s="3" t="str">
        <f>Query_Res!A47</f>
        <v xml:space="preserve">IOHANDLERS (IOH) </v>
      </c>
      <c r="B50" s="3" t="str">
        <f>CONCATENATE(LEFT(TRIM(A50),FIND(" ",A50,1)-1),"-",TRIM(PREV_FIXES!B47))</f>
        <v>IOHANDLERS-054.1A.1</v>
      </c>
      <c r="C50" s="3" t="str">
        <f>CONCATENATE(LEFT(TRIM(A50),FIND(" ",A50,1)-1),"-",TRIM(NEW_FIXES!B47))</f>
        <v>IOHANDLERS-054.1A.1</v>
      </c>
      <c r="D50" s="3" t="str">
        <f t="shared" si="2"/>
        <v/>
      </c>
      <c r="E50" s="7" t="str">
        <f t="shared" si="3"/>
        <v/>
      </c>
    </row>
    <row r="51" spans="1:5" hidden="1" x14ac:dyDescent="0.25">
      <c r="A51" s="3" t="str">
        <f>Query_Res!A48</f>
        <v xml:space="preserve">J2EE-CON-OPENDTP </v>
      </c>
      <c r="B51" s="3" t="str">
        <f>CONCATENATE(LEFT(TRIM(A51),FIND(" ",A51,1)-1),"-",TRIM(PREV_FIXES!B48))</f>
        <v>J2EE-CON-OPENDTP-13.0.0.10</v>
      </c>
      <c r="C51" s="3" t="str">
        <f>CONCATENATE(LEFT(TRIM(A51),FIND(" ",A51,1)-1),"-",TRIM(NEW_FIXES!B48))</f>
        <v>J2EE-CON-OPENDTP-13.0.0.10</v>
      </c>
      <c r="D51" s="3" t="str">
        <f t="shared" si="2"/>
        <v/>
      </c>
      <c r="E51" s="7" t="str">
        <f t="shared" si="3"/>
        <v/>
      </c>
    </row>
    <row r="52" spans="1:5" hidden="1" x14ac:dyDescent="0.25">
      <c r="A52" s="3" t="str">
        <f>Query_Res!A49</f>
        <v xml:space="preserve">JBOSS-MCP (JBOSSMCP) </v>
      </c>
      <c r="B52" s="3" t="str">
        <f>CONCATENATE(LEFT(TRIM(A52),FIND(" ",A52,1)-1),"-",TRIM(PREV_FIXES!B49))</f>
        <v>JBOSS-MCP-4.3.0A.8</v>
      </c>
      <c r="C52" s="3" t="str">
        <f>CONCATENATE(LEFT(TRIM(A52),FIND(" ",A52,1)-1),"-",TRIM(NEW_FIXES!B49))</f>
        <v>JBOSS-MCP-4.3.0A.8</v>
      </c>
      <c r="D52" s="3" t="str">
        <f t="shared" si="2"/>
        <v/>
      </c>
      <c r="E52" s="7" t="str">
        <f t="shared" si="3"/>
        <v/>
      </c>
    </row>
    <row r="53" spans="1:5" hidden="1" x14ac:dyDescent="0.25">
      <c r="A53" s="3" t="str">
        <f>Query_Res!A50</f>
        <v xml:space="preserve">JDBCFORMCP-TYPE4 (JDBC-TYPE4) </v>
      </c>
      <c r="B53" s="3" t="str">
        <f>CONCATENATE(LEFT(TRIM(A53),FIND(" ",A53,1)-1),"-",TRIM(PREV_FIXES!B50))</f>
        <v>JDBCFORMCP-TYPE4-013.0A.8</v>
      </c>
      <c r="C53" s="3" t="str">
        <f>CONCATENATE(LEFT(TRIM(A53),FIND(" ",A53,1)-1),"-",TRIM(NEW_FIXES!B50))</f>
        <v>JDBCFORMCP-TYPE4-013.0A.8</v>
      </c>
      <c r="D53" s="3" t="str">
        <f t="shared" si="2"/>
        <v/>
      </c>
      <c r="E53" s="7" t="str">
        <f t="shared" si="3"/>
        <v/>
      </c>
    </row>
    <row r="54" spans="1:5" hidden="1" x14ac:dyDescent="0.25">
      <c r="A54" s="3" t="str">
        <f>Query_Res!A51</f>
        <v xml:space="preserve">JRAC </v>
      </c>
      <c r="B54" s="3" t="str">
        <f>CONCATENATE(LEFT(TRIM(A54),FIND(" ",A54,1)-1),"-",TRIM(PREV_FIXES!B51))</f>
        <v>JRAC-013.0A.12</v>
      </c>
      <c r="C54" s="3" t="str">
        <f>CONCATENATE(LEFT(TRIM(A54),FIND(" ",A54,1)-1),"-",TRIM(NEW_FIXES!B51))</f>
        <v>JRAC-013.0A.12</v>
      </c>
      <c r="D54" s="3" t="str">
        <f t="shared" si="2"/>
        <v/>
      </c>
      <c r="E54" s="7" t="str">
        <f t="shared" si="3"/>
        <v/>
      </c>
    </row>
    <row r="55" spans="1:5" hidden="1" x14ac:dyDescent="0.25">
      <c r="A55" s="3" t="str">
        <f>Query_Res!A52</f>
        <v xml:space="preserve">KEYEDIO </v>
      </c>
      <c r="B55" s="3" t="str">
        <f>CONCATENATE(LEFT(TRIM(A55),FIND(" ",A55,1)-1),"-",TRIM(PREV_FIXES!B52))</f>
        <v>KEYEDIO-054.1A.1</v>
      </c>
      <c r="C55" s="3" t="str">
        <f>CONCATENATE(LEFT(TRIM(A55),FIND(" ",A55,1)-1),"-",TRIM(NEW_FIXES!B52))</f>
        <v>KEYEDIO-054.1A.1</v>
      </c>
      <c r="D55" s="3" t="str">
        <f t="shared" si="2"/>
        <v/>
      </c>
      <c r="E55" s="7" t="str">
        <f t="shared" si="3"/>
        <v/>
      </c>
    </row>
    <row r="56" spans="1:5" hidden="1" x14ac:dyDescent="0.25">
      <c r="A56" s="3" t="str">
        <f>Query_Res!A53</f>
        <v xml:space="preserve">KEYEDIOII </v>
      </c>
      <c r="B56" s="3" t="str">
        <f>CONCATENATE(LEFT(TRIM(A56),FIND(" ",A56,1)-1),"-",TRIM(PREV_FIXES!B53))</f>
        <v>KEYEDIOII-054.1A.3</v>
      </c>
      <c r="C56" s="3" t="str">
        <f>CONCATENATE(LEFT(TRIM(A56),FIND(" ",A56,1)-1),"-",TRIM(NEW_FIXES!B53))</f>
        <v>KEYEDIOII-054.1A.3</v>
      </c>
      <c r="D56" s="3" t="str">
        <f t="shared" si="2"/>
        <v/>
      </c>
      <c r="E56" s="7" t="str">
        <f t="shared" si="3"/>
        <v/>
      </c>
    </row>
    <row r="57" spans="1:5" hidden="1" x14ac:dyDescent="0.25">
      <c r="A57" s="3" t="str">
        <f>Query_Res!A54</f>
        <v xml:space="preserve">LICENSECENTER </v>
      </c>
      <c r="B57" s="3" t="str">
        <f>CONCATENATE(LEFT(TRIM(A57),FIND(" ",A57,1)-1),"-",TRIM(PREV_FIXES!B54))</f>
        <v>LICENSECENTER-054.1A.12</v>
      </c>
      <c r="C57" s="3" t="str">
        <f>CONCATENATE(LEFT(TRIM(A57),FIND(" ",A57,1)-1),"-",TRIM(NEW_FIXES!B54))</f>
        <v>LICENSECENTER-054.1A.12</v>
      </c>
      <c r="D57" s="3" t="str">
        <f t="shared" si="2"/>
        <v/>
      </c>
      <c r="E57" s="7" t="str">
        <f t="shared" si="3"/>
        <v/>
      </c>
    </row>
    <row r="58" spans="1:5" hidden="1" x14ac:dyDescent="0.25">
      <c r="A58" s="3" t="str">
        <f>Query_Res!A55</f>
        <v xml:space="preserve">LOAD-UTILS </v>
      </c>
      <c r="B58" s="3" t="str">
        <f>CONCATENATE(LEFT(TRIM(A58),FIND(" ",A58,1)-1),"-",TRIM(PREV_FIXES!B55))</f>
        <v>LOAD-UTILS-054.1A.12</v>
      </c>
      <c r="C58" s="3" t="str">
        <f>CONCATENATE(LEFT(TRIM(A58),FIND(" ",A58,1)-1),"-",TRIM(NEW_FIXES!B55))</f>
        <v>LOAD-UTILS-054.1A.12</v>
      </c>
      <c r="D58" s="3" t="str">
        <f t="shared" si="2"/>
        <v/>
      </c>
      <c r="E58" s="7" t="str">
        <f t="shared" si="3"/>
        <v/>
      </c>
    </row>
    <row r="59" spans="1:5" hidden="1" x14ac:dyDescent="0.25">
      <c r="A59" s="3" t="str">
        <f>Query_Res!A56</f>
        <v xml:space="preserve">LOG-TOOLS </v>
      </c>
      <c r="B59" s="3" t="str">
        <f>CONCATENATE(LEFT(TRIM(A59),FIND(" ",A59,1)-1),"-",TRIM(PREV_FIXES!B56))</f>
        <v>LOG-TOOLS-054.1A.34</v>
      </c>
      <c r="C59" s="3" t="str">
        <f>CONCATENATE(LEFT(TRIM(A59),FIND(" ",A59,1)-1),"-",TRIM(NEW_FIXES!B56))</f>
        <v>LOG-TOOLS-054.1A.34</v>
      </c>
      <c r="D59" s="3" t="str">
        <f t="shared" si="2"/>
        <v/>
      </c>
      <c r="E59" s="7" t="str">
        <f t="shared" si="3"/>
        <v/>
      </c>
    </row>
    <row r="60" spans="1:5" hidden="1" x14ac:dyDescent="0.25">
      <c r="A60" s="3" t="str">
        <f>Query_Res!A57</f>
        <v xml:space="preserve">MARC </v>
      </c>
      <c r="B60" s="3" t="str">
        <f>CONCATENATE(LEFT(TRIM(A60),FIND(" ",A60,1)-1),"-",TRIM(PREV_FIXES!B57))</f>
        <v>MARC-054.1A.13</v>
      </c>
      <c r="C60" s="3" t="str">
        <f>CONCATENATE(LEFT(TRIM(A60),FIND(" ",A60,1)-1),"-",TRIM(NEW_FIXES!B57))</f>
        <v>MARC-054.1A.13</v>
      </c>
      <c r="D60" s="3" t="str">
        <f t="shared" si="2"/>
        <v/>
      </c>
      <c r="E60" s="7" t="str">
        <f t="shared" si="3"/>
        <v/>
      </c>
    </row>
    <row r="61" spans="1:5" hidden="1" x14ac:dyDescent="0.25">
      <c r="A61" s="3" t="str">
        <f>Query_Res!A58</f>
        <v xml:space="preserve">MCP </v>
      </c>
      <c r="B61" s="3" t="str">
        <f>CONCATENATE(LEFT(TRIM(A61),FIND(" ",A61,1)-1),"-",TRIM(PREV_FIXES!B58))</f>
        <v>MCP-054.1A.116</v>
      </c>
      <c r="C61" s="3" t="str">
        <f>CONCATENATE(LEFT(TRIM(A61),FIND(" ",A61,1)-1),"-",TRIM(NEW_FIXES!B58))</f>
        <v>MCP-054.1A.116</v>
      </c>
      <c r="D61" s="3" t="str">
        <f t="shared" si="2"/>
        <v/>
      </c>
      <c r="E61" s="7" t="str">
        <f t="shared" si="3"/>
        <v/>
      </c>
    </row>
    <row r="62" spans="1:5" hidden="1" x14ac:dyDescent="0.25">
      <c r="A62" s="3" t="str">
        <f>Query_Res!A59</f>
        <v xml:space="preserve">MCP-TAPESTACK </v>
      </c>
      <c r="B62" s="3" t="str">
        <f>CONCATENATE(LEFT(TRIM(A62),FIND(" ",A62,1)-1),"-",TRIM(PREV_FIXES!B59))</f>
        <v>MCP-TAPESTACK-054.1A.9</v>
      </c>
      <c r="C62" s="3" t="str">
        <f>CONCATENATE(LEFT(TRIM(A62),FIND(" ",A62,1)-1),"-",TRIM(NEW_FIXES!B59))</f>
        <v>MCP-TAPESTACK-054.1A.9</v>
      </c>
      <c r="D62" s="3" t="str">
        <f t="shared" si="2"/>
        <v/>
      </c>
      <c r="E62" s="7" t="str">
        <f t="shared" si="3"/>
        <v/>
      </c>
    </row>
    <row r="63" spans="1:5" hidden="1" x14ac:dyDescent="0.25">
      <c r="A63" s="3" t="str">
        <f>Query_Res!A60</f>
        <v xml:space="preserve">MCP-WORKLOADMGR (MCP-WLM) </v>
      </c>
      <c r="B63" s="3" t="str">
        <f>CONCATENATE(LEFT(TRIM(A63),FIND(" ",A63,1)-1),"-",TRIM(PREV_FIXES!B60))</f>
        <v>MCP-WORKLOADMGR-013.0A.50</v>
      </c>
      <c r="C63" s="3" t="str">
        <f>CONCATENATE(LEFT(TRIM(A63),FIND(" ",A63,1)-1),"-",TRIM(NEW_FIXES!B60))</f>
        <v>MCP-WORKLOADMGR-013.0A.50</v>
      </c>
      <c r="D63" s="3" t="str">
        <f t="shared" si="2"/>
        <v/>
      </c>
      <c r="E63" s="7" t="str">
        <f t="shared" si="3"/>
        <v/>
      </c>
    </row>
    <row r="64" spans="1:5" hidden="1" x14ac:dyDescent="0.25">
      <c r="A64" s="3" t="str">
        <f>Query_Res!A61</f>
        <v xml:space="preserve">MCPESR </v>
      </c>
      <c r="B64" s="3" t="str">
        <f>CONCATENATE(LEFT(TRIM(A64),FIND(" ",A64,1)-1),"-",TRIM(PREV_FIXES!B61))</f>
        <v>MCPESR-054.1A.5</v>
      </c>
      <c r="C64" s="3" t="str">
        <f>CONCATENATE(LEFT(TRIM(A64),FIND(" ",A64,1)-1),"-",TRIM(NEW_FIXES!B61))</f>
        <v>MCPESR-054.1A.5</v>
      </c>
      <c r="D64" s="3" t="str">
        <f t="shared" si="2"/>
        <v/>
      </c>
      <c r="E64" s="7" t="str">
        <f t="shared" si="3"/>
        <v/>
      </c>
    </row>
    <row r="65" spans="1:5" hidden="1" x14ac:dyDescent="0.25">
      <c r="A65" s="3" t="str">
        <f>Query_Res!A62</f>
        <v xml:space="preserve">MCPINFO </v>
      </c>
      <c r="B65" s="3" t="str">
        <f>CONCATENATE(LEFT(TRIM(A65),FIND(" ",A65,1)-1),"-",TRIM(PREV_FIXES!B62))</f>
        <v>MCPINFO-013.0A.2</v>
      </c>
      <c r="C65" s="3" t="str">
        <f>CONCATENATE(LEFT(TRIM(A65),FIND(" ",A65,1)-1),"-",TRIM(NEW_FIXES!B62))</f>
        <v>MCPINFO-013.0A.2</v>
      </c>
      <c r="D65" s="3" t="str">
        <f t="shared" si="2"/>
        <v/>
      </c>
      <c r="E65" s="7" t="str">
        <f t="shared" si="3"/>
        <v/>
      </c>
    </row>
    <row r="66" spans="1:5" hidden="1" x14ac:dyDescent="0.25">
      <c r="A66" s="3" t="str">
        <f>Query_Res!A63</f>
        <v xml:space="preserve">MCPJAVA </v>
      </c>
      <c r="B66" s="3" t="str">
        <f>CONCATENATE(LEFT(TRIM(A66),FIND(" ",A66,1)-1),"-",TRIM(PREV_FIXES!B63))</f>
        <v>MCPJAVA-054.1A.39</v>
      </c>
      <c r="C66" s="3" t="str">
        <f>CONCATENATE(LEFT(TRIM(A66),FIND(" ",A66,1)-1),"-",TRIM(NEW_FIXES!B63))</f>
        <v>MCPJAVA-054.1A.39</v>
      </c>
      <c r="D66" s="3" t="str">
        <f t="shared" si="2"/>
        <v/>
      </c>
      <c r="E66" s="7" t="str">
        <f t="shared" si="3"/>
        <v/>
      </c>
    </row>
    <row r="67" spans="1:5" hidden="1" x14ac:dyDescent="0.25">
      <c r="A67" s="3" t="str">
        <f>Query_Res!A64</f>
        <v xml:space="preserve">MCPPRT </v>
      </c>
      <c r="B67" s="3" t="str">
        <f>CONCATENATE(LEFT(TRIM(A67),FIND(" ",A67,1)-1),"-",TRIM(PREV_FIXES!B64))</f>
        <v>MCPPRT-054.1A.27</v>
      </c>
      <c r="C67" s="3" t="str">
        <f>CONCATENATE(LEFT(TRIM(A67),FIND(" ",A67,1)-1),"-",TRIM(NEW_FIXES!B64))</f>
        <v>MCPPRT-054.1A.27</v>
      </c>
      <c r="D67" s="3" t="str">
        <f t="shared" si="2"/>
        <v/>
      </c>
      <c r="E67" s="7" t="str">
        <f t="shared" si="3"/>
        <v/>
      </c>
    </row>
    <row r="68" spans="1:5" hidden="1" x14ac:dyDescent="0.25">
      <c r="A68" s="3" t="str">
        <f>Query_Res!A65</f>
        <v xml:space="preserve">MCPSERVER </v>
      </c>
      <c r="B68" s="3" t="str">
        <f>CONCATENATE(LEFT(TRIM(A68),FIND(" ",A68,1)-1),"-",TRIM(PREV_FIXES!B65))</f>
        <v>MCPSERVER-054.1A.1</v>
      </c>
      <c r="C68" s="3" t="str">
        <f>CONCATENATE(LEFT(TRIM(A68),FIND(" ",A68,1)-1),"-",TRIM(NEW_FIXES!B65))</f>
        <v>MCPSERVER-054.1A.1</v>
      </c>
      <c r="D68" s="3" t="str">
        <f t="shared" si="2"/>
        <v/>
      </c>
      <c r="E68" s="7" t="str">
        <f t="shared" si="3"/>
        <v/>
      </c>
    </row>
    <row r="69" spans="1:5" hidden="1" x14ac:dyDescent="0.25">
      <c r="A69" s="3" t="str">
        <f>Query_Res!A66</f>
        <v xml:space="preserve">MLS </v>
      </c>
      <c r="B69" s="3" t="str">
        <f>CONCATENATE(LEFT(TRIM(A69),FIND(" ",A69,1)-1),"-",TRIM(PREV_FIXES!B66))</f>
        <v>MLS-054.1A.2</v>
      </c>
      <c r="C69" s="3" t="str">
        <f>CONCATENATE(LEFT(TRIM(A69),FIND(" ",A69,1)-1),"-",TRIM(NEW_FIXES!B66))</f>
        <v>MLS-054.1A.2</v>
      </c>
      <c r="D69" s="3" t="str">
        <f t="shared" ref="D69:D100" si="4">UnisysGetICs(B69,C69)</f>
        <v/>
      </c>
      <c r="E69" s="7" t="str">
        <f t="shared" ref="E69:E100" si="5">IF(NOT(D69=""),HYPERLINK(CONCATENATE("https://www.support.unisys.com/common/epa/macro.aspx?path0=a-s&amp;path1=ple&amp;path2=web-select&amp;SELECT=PLE-PLE-TO-IC+eq+ ",D69,"&amp;TITLE=PLE(s)+since+IC:+",B69)),"")</f>
        <v/>
      </c>
    </row>
    <row r="70" spans="1:5" hidden="1" x14ac:dyDescent="0.25">
      <c r="A70" s="3" t="str">
        <f>Query_Res!A67</f>
        <v xml:space="preserve">MQMCP </v>
      </c>
      <c r="B70" s="3" t="str">
        <f>CONCATENATE(LEFT(TRIM(A70),FIND(" ",A70,1)-1),"-",TRIM(PREV_FIXES!B67))</f>
        <v>MQMCP-054.1A.6</v>
      </c>
      <c r="C70" s="3" t="str">
        <f>CONCATENATE(LEFT(TRIM(A70),FIND(" ",A70,1)-1),"-",TRIM(NEW_FIXES!B67))</f>
        <v>MQMCP-054.1A.6</v>
      </c>
      <c r="D70" s="3" t="str">
        <f t="shared" si="4"/>
        <v/>
      </c>
      <c r="E70" s="7" t="str">
        <f t="shared" si="5"/>
        <v/>
      </c>
    </row>
    <row r="71" spans="1:5" hidden="1" x14ac:dyDescent="0.25">
      <c r="A71" s="3" t="str">
        <f>Query_Res!A68</f>
        <v xml:space="preserve">NETWORKSUPPORT </v>
      </c>
      <c r="B71" s="3" t="str">
        <f>CONCATENATE(LEFT(TRIM(A71),FIND(" ",A71,1)-1),"-",TRIM(PREV_FIXES!B68))</f>
        <v>NETWORKSUPPORT-054.1A.2</v>
      </c>
      <c r="C71" s="3" t="str">
        <f>CONCATENATE(LEFT(TRIM(A71),FIND(" ",A71,1)-1),"-",TRIM(NEW_FIXES!B68))</f>
        <v>NETWORKSUPPORT-054.1A.2</v>
      </c>
      <c r="D71" s="3" t="str">
        <f t="shared" si="4"/>
        <v/>
      </c>
      <c r="E71" s="7" t="str">
        <f t="shared" si="5"/>
        <v/>
      </c>
    </row>
    <row r="72" spans="1:5" hidden="1" x14ac:dyDescent="0.25">
      <c r="A72" s="3" t="str">
        <f>Query_Res!A69</f>
        <v xml:space="preserve">NEWP </v>
      </c>
      <c r="B72" s="3" t="str">
        <f>CONCATENATE(LEFT(TRIM(A72),FIND(" ",A72,1)-1),"-",TRIM(PREV_FIXES!B69))</f>
        <v>NEWP-054.1A.5</v>
      </c>
      <c r="C72" s="3" t="str">
        <f>CONCATENATE(LEFT(TRIM(A72),FIND(" ",A72,1)-1),"-",TRIM(NEW_FIXES!B69))</f>
        <v>NEWP-054.1A.5</v>
      </c>
      <c r="D72" s="3" t="str">
        <f t="shared" si="4"/>
        <v/>
      </c>
      <c r="E72" s="7" t="str">
        <f t="shared" si="5"/>
        <v/>
      </c>
    </row>
    <row r="73" spans="1:5" hidden="1" x14ac:dyDescent="0.25">
      <c r="A73" s="3" t="str">
        <f>Query_Res!A70</f>
        <v xml:space="preserve">NX/ATLAS (WEB-TS-MCP) </v>
      </c>
      <c r="B73" s="3" t="str">
        <f>CONCATENATE(LEFT(TRIM(A73),FIND(" ",A73,1)-1),"-",TRIM(PREV_FIXES!B70))</f>
        <v>NX/ATLAS-013.0A.15</v>
      </c>
      <c r="C73" s="3" t="str">
        <f>CONCATENATE(LEFT(TRIM(A73),FIND(" ",A73,1)-1),"-",TRIM(NEW_FIXES!B70))</f>
        <v>NX/ATLAS-013.0A.15</v>
      </c>
      <c r="D73" s="3" t="str">
        <f t="shared" si="4"/>
        <v/>
      </c>
      <c r="E73" s="7" t="str">
        <f t="shared" si="5"/>
        <v/>
      </c>
    </row>
    <row r="74" spans="1:5" hidden="1" x14ac:dyDescent="0.25">
      <c r="A74" s="3" t="str">
        <f>Query_Res!A71</f>
        <v xml:space="preserve">NX/COMSCENTER (TXN-CENTER) </v>
      </c>
      <c r="B74" s="3" t="str">
        <f>CONCATENATE(LEFT(TRIM(A74),FIND(" ",A74,1)-1),"-",TRIM(PREV_FIXES!B71))</f>
        <v>NX/COMSCENTER-054.1A.3</v>
      </c>
      <c r="C74" s="3" t="str">
        <f>CONCATENATE(LEFT(TRIM(A74),FIND(" ",A74,1)-1),"-",TRIM(NEW_FIXES!B71))</f>
        <v>NX/COMSCENTER-054.1A.3</v>
      </c>
      <c r="D74" s="3" t="str">
        <f t="shared" si="4"/>
        <v/>
      </c>
      <c r="E74" s="7" t="str">
        <f t="shared" si="5"/>
        <v/>
      </c>
    </row>
    <row r="75" spans="1:5" hidden="1" x14ac:dyDescent="0.25">
      <c r="A75" s="3" t="str">
        <f>Query_Res!A72</f>
        <v xml:space="preserve">NX/DBCENTER (DB-OPS-CENTER) </v>
      </c>
      <c r="B75" s="3" t="str">
        <f>CONCATENATE(LEFT(TRIM(A75),FIND(" ",A75,1)-1),"-",TRIM(PREV_FIXES!B72))</f>
        <v>NX/DBCENTER-013.0A.22</v>
      </c>
      <c r="C75" s="3" t="str">
        <f>CONCATENATE(LEFT(TRIM(A75),FIND(" ",A75,1)-1),"-",TRIM(NEW_FIXES!B72))</f>
        <v>NX/DBCENTER-013.0A.22</v>
      </c>
      <c r="D75" s="3" t="str">
        <f t="shared" si="4"/>
        <v/>
      </c>
      <c r="E75" s="7" t="str">
        <f t="shared" si="5"/>
        <v/>
      </c>
    </row>
    <row r="76" spans="1:5" hidden="1" x14ac:dyDescent="0.25">
      <c r="A76" s="3" t="str">
        <f>Query_Res!A73</f>
        <v xml:space="preserve">NX/EDIT (PW-MCP) </v>
      </c>
      <c r="B76" s="3" t="str">
        <f>CONCATENATE(LEFT(TRIM(A76),FIND(" ",A76,1)-1),"-",TRIM(PREV_FIXES!B73))</f>
        <v>NX/EDIT-054.1A.11</v>
      </c>
      <c r="C76" s="3" t="str">
        <f>CONCATENATE(LEFT(TRIM(A76),FIND(" ",A76,1)-1),"-",TRIM(NEW_FIXES!B73))</f>
        <v>NX/EDIT-054.1A.11</v>
      </c>
      <c r="D76" s="3" t="str">
        <f t="shared" si="4"/>
        <v/>
      </c>
      <c r="E76" s="7" t="str">
        <f t="shared" si="5"/>
        <v/>
      </c>
    </row>
    <row r="77" spans="1:5" hidden="1" x14ac:dyDescent="0.25">
      <c r="A77" s="3" t="str">
        <f>Query_Res!A74</f>
        <v xml:space="preserve">NX/INSTALLCENTER (INSTALL-CENTER) </v>
      </c>
      <c r="B77" s="3" t="str">
        <f>CONCATENATE(LEFT(TRIM(A77),FIND(" ",A77,1)-1),"-",TRIM(PREV_FIXES!B74))</f>
        <v>NX/INSTALLCENTER-054.1A.17</v>
      </c>
      <c r="C77" s="3" t="str">
        <f>CONCATENATE(LEFT(TRIM(A77),FIND(" ",A77,1)-1),"-",TRIM(NEW_FIXES!B74))</f>
        <v>NX/INSTALLCENTER-054.1A.17</v>
      </c>
      <c r="D77" s="3" t="str">
        <f t="shared" si="4"/>
        <v/>
      </c>
      <c r="E77" s="7" t="str">
        <f t="shared" si="5"/>
        <v/>
      </c>
    </row>
    <row r="78" spans="1:5" hidden="1" x14ac:dyDescent="0.25">
      <c r="A78" s="3" t="str">
        <f>Query_Res!A75</f>
        <v xml:space="preserve">NX/NET (NETWORK-SERVICES) </v>
      </c>
      <c r="B78" s="3" t="str">
        <f>CONCATENATE(LEFT(TRIM(A78),FIND(" ",A78,1)-1),"-",TRIM(PREV_FIXES!B75))</f>
        <v>NX/NET-013.0A.19</v>
      </c>
      <c r="C78" s="3" t="str">
        <f>CONCATENATE(LEFT(TRIM(A78),FIND(" ",A78,1)-1),"-",TRIM(NEW_FIXES!B75))</f>
        <v>NX/NET-013.0A.19</v>
      </c>
      <c r="D78" s="3" t="str">
        <f t="shared" si="4"/>
        <v/>
      </c>
      <c r="E78" s="7" t="str">
        <f t="shared" si="5"/>
        <v/>
      </c>
    </row>
    <row r="79" spans="1:5" hidden="1" x14ac:dyDescent="0.25">
      <c r="A79" s="3" t="str">
        <f>Query_Res!A76</f>
        <v xml:space="preserve">NX/OPCENTER (OPS-CENTER) </v>
      </c>
      <c r="B79" s="3" t="str">
        <f>CONCATENATE(LEFT(TRIM(A79),FIND(" ",A79,1)-1),"-",TRIM(PREV_FIXES!B76))</f>
        <v>NX/OPCENTER-013.0A.2</v>
      </c>
      <c r="C79" s="3" t="str">
        <f>CONCATENATE(LEFT(TRIM(A79),FIND(" ",A79,1)-1),"-",TRIM(NEW_FIXES!B76))</f>
        <v>NX/OPCENTER-013.0A.2</v>
      </c>
      <c r="D79" s="3" t="str">
        <f t="shared" si="4"/>
        <v/>
      </c>
      <c r="E79" s="7" t="str">
        <f t="shared" si="5"/>
        <v/>
      </c>
    </row>
    <row r="80" spans="1:5" hidden="1" x14ac:dyDescent="0.25">
      <c r="A80" s="3" t="str">
        <f>Query_Res!A77</f>
        <v xml:space="preserve">NX/PRINTCENTER (PRINT-CENTER) </v>
      </c>
      <c r="B80" s="3" t="str">
        <f>CONCATENATE(LEFT(TRIM(A80),FIND(" ",A80,1)-1),"-",TRIM(PREV_FIXES!B77))</f>
        <v>NX/PRINTCENTER-054.1A.27</v>
      </c>
      <c r="C80" s="3" t="str">
        <f>CONCATENATE(LEFT(TRIM(A80),FIND(" ",A80,1)-1),"-",TRIM(NEW_FIXES!B77))</f>
        <v>NX/PRINTCENTER-054.1A.27</v>
      </c>
      <c r="D80" s="3" t="str">
        <f t="shared" si="4"/>
        <v/>
      </c>
      <c r="E80" s="7" t="str">
        <f t="shared" si="5"/>
        <v/>
      </c>
    </row>
    <row r="81" spans="1:5" hidden="1" x14ac:dyDescent="0.25">
      <c r="A81" s="3" t="str">
        <f>Query_Res!A78</f>
        <v xml:space="preserve">NX/SERVICES (CLIENT-ACC-SVCS) </v>
      </c>
      <c r="B81" s="3" t="str">
        <f>CONCATENATE(LEFT(TRIM(A81),FIND(" ",A81,1)-1),"-",TRIM(PREV_FIXES!B78))</f>
        <v>NX/SERVICES-013.0A.14</v>
      </c>
      <c r="C81" s="3" t="str">
        <f>CONCATENATE(LEFT(TRIM(A81),FIND(" ",A81,1)-1),"-",TRIM(NEW_FIXES!B78))</f>
        <v>NX/SERVICES-013.0A.14</v>
      </c>
      <c r="D81" s="3" t="str">
        <f t="shared" si="4"/>
        <v/>
      </c>
      <c r="E81" s="7" t="str">
        <f t="shared" si="5"/>
        <v/>
      </c>
    </row>
    <row r="82" spans="1:5" hidden="1" x14ac:dyDescent="0.25">
      <c r="A82" s="3" t="str">
        <f>Query_Res!A79</f>
        <v xml:space="preserve">NX/WEBSTATION (WEB-ENABLE-MCP) </v>
      </c>
      <c r="B82" s="3" t="str">
        <f>CONCATENATE(LEFT(TRIM(A82),FIND(" ",A82,1)-1),"-",TRIM(PREV_FIXES!B79))</f>
        <v>NX/WEBSTATION-013.0A.25</v>
      </c>
      <c r="C82" s="3" t="str">
        <f>CONCATENATE(LEFT(TRIM(A82),FIND(" ",A82,1)-1),"-",TRIM(NEW_FIXES!B79))</f>
        <v>NX/WEBSTATION-013.0A.25</v>
      </c>
      <c r="D82" s="3" t="str">
        <f t="shared" si="4"/>
        <v/>
      </c>
      <c r="E82" s="7" t="str">
        <f t="shared" si="5"/>
        <v/>
      </c>
    </row>
    <row r="83" spans="1:5" hidden="1" x14ac:dyDescent="0.25">
      <c r="A83" s="3" t="str">
        <f>Query_Res!A80</f>
        <v xml:space="preserve">OLEDB </v>
      </c>
      <c r="B83" s="3" t="str">
        <f>CONCATENATE(LEFT(TRIM(A83),FIND(" ",A83,1)-1),"-",TRIM(PREV_FIXES!B80))</f>
        <v>OLEDB-054.1A.13</v>
      </c>
      <c r="C83" s="3" t="str">
        <f>CONCATENATE(LEFT(TRIM(A83),FIND(" ",A83,1)-1),"-",TRIM(NEW_FIXES!B80))</f>
        <v>OLEDB-054.1A.13</v>
      </c>
      <c r="D83" s="3" t="str">
        <f t="shared" si="4"/>
        <v/>
      </c>
      <c r="E83" s="7" t="str">
        <f t="shared" si="5"/>
        <v/>
      </c>
    </row>
    <row r="84" spans="1:5" hidden="1" x14ac:dyDescent="0.25">
      <c r="A84" s="3" t="str">
        <f>Query_Res!A81</f>
        <v xml:space="preserve">OSI-TP </v>
      </c>
      <c r="B84" s="3" t="str">
        <f>CONCATENATE(LEFT(TRIM(A84),FIND(" ",A84,1)-1),"-",TRIM(PREV_FIXES!B81))</f>
        <v>OSI-TP-054.1A.1</v>
      </c>
      <c r="C84" s="3" t="str">
        <f>CONCATENATE(LEFT(TRIM(A84),FIND(" ",A84,1)-1),"-",TRIM(NEW_FIXES!B81))</f>
        <v>OSI-TP-054.1A.1</v>
      </c>
      <c r="D84" s="3" t="str">
        <f t="shared" si="4"/>
        <v/>
      </c>
      <c r="E84" s="7" t="str">
        <f t="shared" si="5"/>
        <v/>
      </c>
    </row>
    <row r="85" spans="1:5" hidden="1" x14ac:dyDescent="0.25">
      <c r="A85" s="3" t="str">
        <f>Query_Res!A82</f>
        <v xml:space="preserve">PASCAL83 </v>
      </c>
      <c r="B85" s="3" t="str">
        <f>CONCATENATE(LEFT(TRIM(A85),FIND(" ",A85,1)-1),"-",TRIM(PREV_FIXES!B82))</f>
        <v>PASCAL83-054.1A.2</v>
      </c>
      <c r="C85" s="3" t="str">
        <f>CONCATENATE(LEFT(TRIM(A85),FIND(" ",A85,1)-1),"-",TRIM(NEW_FIXES!B82))</f>
        <v>PASCAL83-054.1A.2</v>
      </c>
      <c r="D85" s="3" t="str">
        <f t="shared" si="4"/>
        <v/>
      </c>
      <c r="E85" s="7" t="str">
        <f t="shared" si="5"/>
        <v/>
      </c>
    </row>
    <row r="86" spans="1:5" hidden="1" x14ac:dyDescent="0.25">
      <c r="A86" s="3" t="str">
        <f>Query_Res!A83</f>
        <v xml:space="preserve">PDIR </v>
      </c>
      <c r="B86" s="3" t="str">
        <f>CONCATENATE(LEFT(TRIM(A86),FIND(" ",A86,1)-1),"-",TRIM(PREV_FIXES!B83))</f>
        <v>PDIR-054.1A.1</v>
      </c>
      <c r="C86" s="3" t="str">
        <f>CONCATENATE(LEFT(TRIM(A86),FIND(" ",A86,1)-1),"-",TRIM(NEW_FIXES!B83))</f>
        <v>PDIR-054.1A.1</v>
      </c>
      <c r="D86" s="3" t="str">
        <f t="shared" si="4"/>
        <v/>
      </c>
      <c r="E86" s="7" t="str">
        <f t="shared" si="5"/>
        <v/>
      </c>
    </row>
    <row r="87" spans="1:5" hidden="1" x14ac:dyDescent="0.25">
      <c r="A87" s="3" t="str">
        <f>Query_Res!A84</f>
        <v xml:space="preserve">PRINTS </v>
      </c>
      <c r="B87" s="3" t="str">
        <f>CONCATENATE(LEFT(TRIM(A87),FIND(" ",A87,1)-1),"-",TRIM(PREV_FIXES!B84))</f>
        <v>PRINTS-054.1A.27</v>
      </c>
      <c r="C87" s="3" t="str">
        <f>CONCATENATE(LEFT(TRIM(A87),FIND(" ",A87,1)-1),"-",TRIM(NEW_FIXES!B84))</f>
        <v>PRINTS-054.1A.27</v>
      </c>
      <c r="D87" s="3" t="str">
        <f t="shared" si="4"/>
        <v/>
      </c>
      <c r="E87" s="7" t="str">
        <f t="shared" si="5"/>
        <v/>
      </c>
    </row>
    <row r="88" spans="1:5" hidden="1" x14ac:dyDescent="0.25">
      <c r="A88" s="3" t="str">
        <f>Query_Res!A85</f>
        <v xml:space="preserve">RDB </v>
      </c>
      <c r="B88" s="3" t="str">
        <f>CONCATENATE(LEFT(TRIM(A88),FIND(" ",A88,1)-1),"-",TRIM(PREV_FIXES!B85))</f>
        <v>RDB-054.1A.68</v>
      </c>
      <c r="C88" s="3" t="str">
        <f>CONCATENATE(LEFT(TRIM(A88),FIND(" ",A88,1)-1),"-",TRIM(NEW_FIXES!B85))</f>
        <v>RDB-054.1A.68</v>
      </c>
      <c r="D88" s="3" t="str">
        <f t="shared" si="4"/>
        <v/>
      </c>
      <c r="E88" s="7" t="str">
        <f t="shared" si="5"/>
        <v/>
      </c>
    </row>
    <row r="89" spans="1:5" hidden="1" x14ac:dyDescent="0.25">
      <c r="A89" s="3" t="str">
        <f>Query_Res!A86</f>
        <v xml:space="preserve">RESOLVER </v>
      </c>
      <c r="B89" s="3" t="str">
        <f>CONCATENATE(LEFT(TRIM(A89),FIND(" ",A89,1)-1),"-",TRIM(PREV_FIXES!B86))</f>
        <v>RESOLVER-054.1A.3</v>
      </c>
      <c r="C89" s="3" t="str">
        <f>CONCATENATE(LEFT(TRIM(A89),FIND(" ",A89,1)-1),"-",TRIM(NEW_FIXES!B86))</f>
        <v>RESOLVER-054.1A.3</v>
      </c>
      <c r="D89" s="3" t="str">
        <f t="shared" si="4"/>
        <v/>
      </c>
      <c r="E89" s="7" t="str">
        <f t="shared" si="5"/>
        <v/>
      </c>
    </row>
    <row r="90" spans="1:5" hidden="1" x14ac:dyDescent="0.25">
      <c r="A90" s="3" t="str">
        <f>Query_Res!A87</f>
        <v xml:space="preserve">RMSUPPORT </v>
      </c>
      <c r="B90" s="3" t="str">
        <f>CONCATENATE(LEFT(TRIM(A90),FIND(" ",A90,1)-1),"-",TRIM(PREV_FIXES!B87))</f>
        <v>RMSUPPORT-054.1A.68</v>
      </c>
      <c r="C90" s="3" t="str">
        <f>CONCATENATE(LEFT(TRIM(A90),FIND(" ",A90,1)-1),"-",TRIM(NEW_FIXES!B87))</f>
        <v>RMSUPPORT-054.1A.68</v>
      </c>
      <c r="D90" s="3" t="str">
        <f t="shared" si="4"/>
        <v/>
      </c>
      <c r="E90" s="7" t="str">
        <f t="shared" si="5"/>
        <v/>
      </c>
    </row>
    <row r="91" spans="1:5" hidden="1" x14ac:dyDescent="0.25">
      <c r="A91" s="3" t="str">
        <f>Query_Res!A88</f>
        <v xml:space="preserve">RPG </v>
      </c>
      <c r="B91" s="3" t="str">
        <f>CONCATENATE(LEFT(TRIM(A91),FIND(" ",A91,1)-1),"-",TRIM(PREV_FIXES!B88))</f>
        <v>RPG-054.1A.3</v>
      </c>
      <c r="C91" s="3" t="str">
        <f>CONCATENATE(LEFT(TRIM(A91),FIND(" ",A91,1)-1),"-",TRIM(NEW_FIXES!B88))</f>
        <v>RPG-054.1A.3</v>
      </c>
      <c r="D91" s="3" t="str">
        <f t="shared" si="4"/>
        <v/>
      </c>
      <c r="E91" s="7" t="str">
        <f t="shared" si="5"/>
        <v/>
      </c>
    </row>
    <row r="92" spans="1:5" hidden="1" x14ac:dyDescent="0.25">
      <c r="A92" s="3" t="str">
        <f>Query_Res!A89</f>
        <v xml:space="preserve">SAN-DATAMOVER </v>
      </c>
      <c r="B92" s="3" t="str">
        <f>CONCATENATE(LEFT(TRIM(A92),FIND(" ",A92,1)-1),"-",TRIM(PREV_FIXES!B89))</f>
        <v>SAN-DATAMOVER-054.1A.33</v>
      </c>
      <c r="C92" s="3" t="str">
        <f>CONCATENATE(LEFT(TRIM(A92),FIND(" ",A92,1)-1),"-",TRIM(NEW_FIXES!B89))</f>
        <v>SAN-DATAMOVER-054.1A.33</v>
      </c>
      <c r="D92" s="3" t="str">
        <f t="shared" si="4"/>
        <v/>
      </c>
      <c r="E92" s="7" t="str">
        <f t="shared" si="5"/>
        <v/>
      </c>
    </row>
    <row r="93" spans="1:5" hidden="1" x14ac:dyDescent="0.25">
      <c r="A93" s="3" t="str">
        <f>Query_Res!A90</f>
        <v xml:space="preserve">SDASUPPORT </v>
      </c>
      <c r="B93" s="3" t="str">
        <f>CONCATENATE(LEFT(TRIM(A93),FIND(" ",A93,1)-1),"-",TRIM(PREV_FIXES!B90))</f>
        <v>SDASUPPORT-054.1A.9</v>
      </c>
      <c r="C93" s="3" t="str">
        <f>CONCATENATE(LEFT(TRIM(A93),FIND(" ",A93,1)-1),"-",TRIM(NEW_FIXES!B90))</f>
        <v>SDASUPPORT-054.1A.9</v>
      </c>
      <c r="D93" s="3" t="str">
        <f t="shared" si="4"/>
        <v/>
      </c>
      <c r="E93" s="7" t="str">
        <f t="shared" si="5"/>
        <v/>
      </c>
    </row>
    <row r="94" spans="1:5" hidden="1" x14ac:dyDescent="0.25">
      <c r="A94" s="3" t="str">
        <f>Query_Res!A91</f>
        <v xml:space="preserve">SDF </v>
      </c>
      <c r="B94" s="3" t="str">
        <f>CONCATENATE(LEFT(TRIM(A94),FIND(" ",A94,1)-1),"-",TRIM(PREV_FIXES!B91))</f>
        <v>SDF-054.1A.1</v>
      </c>
      <c r="C94" s="3" t="str">
        <f>CONCATENATE(LEFT(TRIM(A94),FIND(" ",A94,1)-1),"-",TRIM(NEW_FIXES!B91))</f>
        <v>SDF-054.1A.1</v>
      </c>
      <c r="D94" s="3" t="str">
        <f t="shared" si="4"/>
        <v/>
      </c>
      <c r="E94" s="7" t="str">
        <f t="shared" si="5"/>
        <v/>
      </c>
    </row>
    <row r="95" spans="1:5" hidden="1" x14ac:dyDescent="0.25">
      <c r="A95" s="3" t="str">
        <f>Query_Res!A92</f>
        <v xml:space="preserve">SDFPLUS </v>
      </c>
      <c r="B95" s="3" t="str">
        <f>CONCATENATE(LEFT(TRIM(A95),FIND(" ",A95,1)-1),"-",TRIM(PREV_FIXES!B92))</f>
        <v>SDFPLUS-054.1A.2</v>
      </c>
      <c r="C95" s="3" t="str">
        <f>CONCATENATE(LEFT(TRIM(A95),FIND(" ",A95,1)-1),"-",TRIM(NEW_FIXES!B92))</f>
        <v>SDFPLUS-054.1A.2</v>
      </c>
      <c r="D95" s="3" t="str">
        <f t="shared" si="4"/>
        <v/>
      </c>
      <c r="E95" s="7" t="str">
        <f t="shared" si="5"/>
        <v/>
      </c>
    </row>
    <row r="96" spans="1:5" hidden="1" x14ac:dyDescent="0.25">
      <c r="A96" s="3" t="str">
        <f>Query_Res!A93</f>
        <v xml:space="preserve">SECURE-TRANSPORT </v>
      </c>
      <c r="B96" s="3" t="str">
        <f>CONCATENATE(LEFT(TRIM(A96),FIND(" ",A96,1)-1),"-",TRIM(PREV_FIXES!B93))</f>
        <v>SECURE-TRANSPORT-013.0A.19</v>
      </c>
      <c r="C96" s="3" t="str">
        <f>CONCATENATE(LEFT(TRIM(A96),FIND(" ",A96,1)-1),"-",TRIM(NEW_FIXES!B93))</f>
        <v>SECURE-TRANSPORT-013.0A.19</v>
      </c>
      <c r="D96" s="3" t="str">
        <f t="shared" si="4"/>
        <v/>
      </c>
      <c r="E96" s="7" t="str">
        <f t="shared" si="5"/>
        <v/>
      </c>
    </row>
    <row r="97" spans="1:5" hidden="1" x14ac:dyDescent="0.25">
      <c r="A97" s="3" t="str">
        <f>Query_Res!A94</f>
        <v xml:space="preserve">SECURITY </v>
      </c>
      <c r="B97" s="3" t="str">
        <f>CONCATENATE(LEFT(TRIM(A97),FIND(" ",A97,1)-1),"-",TRIM(PREV_FIXES!B94))</f>
        <v>SECURITY-054.1A.42</v>
      </c>
      <c r="C97" s="3" t="str">
        <f>CONCATENATE(LEFT(TRIM(A97),FIND(" ",A97,1)-1),"-",TRIM(NEW_FIXES!B94))</f>
        <v>SECURITY-054.1A.42</v>
      </c>
      <c r="D97" s="3" t="str">
        <f t="shared" si="4"/>
        <v/>
      </c>
      <c r="E97" s="7" t="str">
        <f t="shared" si="5"/>
        <v/>
      </c>
    </row>
    <row r="98" spans="1:5" hidden="1" x14ac:dyDescent="0.25">
      <c r="A98" s="3" t="str">
        <f>Query_Res!A95</f>
        <v xml:space="preserve">SECURITYCENTER </v>
      </c>
      <c r="B98" s="3" t="str">
        <f>CONCATENATE(LEFT(TRIM(A98),FIND(" ",A98,1)-1),"-",TRIM(PREV_FIXES!B95))</f>
        <v>SECURITYCENTER-013.0A.34</v>
      </c>
      <c r="C98" s="3" t="str">
        <f>CONCATENATE(LEFT(TRIM(A98),FIND(" ",A98,1)-1),"-",TRIM(NEW_FIXES!B95))</f>
        <v>SECURITYCENTER-013.0A.34</v>
      </c>
      <c r="D98" s="3" t="str">
        <f t="shared" si="4"/>
        <v/>
      </c>
      <c r="E98" s="7" t="str">
        <f t="shared" si="5"/>
        <v/>
      </c>
    </row>
    <row r="99" spans="1:5" hidden="1" x14ac:dyDescent="0.25">
      <c r="A99" s="3" t="str">
        <f>Query_Res!A96</f>
        <v xml:space="preserve">SIMPLEINSTALL </v>
      </c>
      <c r="B99" s="3" t="str">
        <f>CONCATENATE(LEFT(TRIM(A99),FIND(" ",A99,1)-1),"-",TRIM(PREV_FIXES!B96))</f>
        <v>SIMPLEINSTALL-054.1A.17</v>
      </c>
      <c r="C99" s="3" t="str">
        <f>CONCATENATE(LEFT(TRIM(A99),FIND(" ",A99,1)-1),"-",TRIM(NEW_FIXES!B96))</f>
        <v>SIMPLEINSTALL-054.1A.17</v>
      </c>
      <c r="D99" s="3" t="str">
        <f t="shared" si="4"/>
        <v/>
      </c>
      <c r="E99" s="7" t="str">
        <f t="shared" si="5"/>
        <v/>
      </c>
    </row>
    <row r="100" spans="1:5" hidden="1" x14ac:dyDescent="0.25">
      <c r="A100" s="3" t="str">
        <f>Query_Res!A97</f>
        <v xml:space="preserve">SOFTCOMP </v>
      </c>
      <c r="B100" s="3" t="str">
        <f>CONCATENATE(LEFT(TRIM(A100),FIND(" ",A100,1)-1),"-",TRIM(PREV_FIXES!B97))</f>
        <v>SOFTCOMP-054.1A.2</v>
      </c>
      <c r="C100" s="3" t="str">
        <f>CONCATENATE(LEFT(TRIM(A100),FIND(" ",A100,1)-1),"-",TRIM(NEW_FIXES!B97))</f>
        <v>SOFTCOMP-054.1A.2</v>
      </c>
      <c r="D100" s="3" t="str">
        <f t="shared" si="4"/>
        <v/>
      </c>
      <c r="E100" s="7" t="str">
        <f t="shared" si="5"/>
        <v/>
      </c>
    </row>
    <row r="101" spans="1:5" hidden="1" x14ac:dyDescent="0.25">
      <c r="A101" s="3" t="str">
        <f>Query_Res!A98</f>
        <v xml:space="preserve">SP-OPERATION (OP SENTINEL) </v>
      </c>
      <c r="B101" s="3" t="str">
        <f>CONCATENATE(LEFT(TRIM(A101),FIND(" ",A101,1)-1),"-",TRIM(PREV_FIXES!B98))</f>
        <v>SP-OPERATION-11.1.8</v>
      </c>
      <c r="C101" s="3" t="str">
        <f>CONCATENATE(LEFT(TRIM(A101),FIND(" ",A101,1)-1),"-",TRIM(NEW_FIXES!B98))</f>
        <v>SP-OPERATION-11.1.8</v>
      </c>
      <c r="D101" s="3" t="str">
        <f t="shared" ref="D101:D132" si="6">UnisysGetICs(B101,C101)</f>
        <v/>
      </c>
      <c r="E101" s="7" t="str">
        <f t="shared" ref="E101:E132" si="7">IF(NOT(D101=""),HYPERLINK(CONCATENATE("https://www.support.unisys.com/common/epa/macro.aspx?path0=a-s&amp;path1=ple&amp;path2=web-select&amp;SELECT=PLE-PLE-TO-IC+eq+ ",D101,"&amp;TITLE=PLE(s)+since+IC:+",B101)),"")</f>
        <v/>
      </c>
    </row>
    <row r="102" spans="1:5" hidden="1" x14ac:dyDescent="0.25">
      <c r="A102" s="3" t="str">
        <f>Query_Res!A99</f>
        <v xml:space="preserve">SP-OPERATION (OP SENTINEL) </v>
      </c>
      <c r="B102" s="3" t="str">
        <f>CONCATENATE(LEFT(TRIM(A102),FIND(" ",A102,1)-1),"-",TRIM(PREV_FIXES!B99))</f>
        <v>SP-OPERATION-12.0.7</v>
      </c>
      <c r="C102" s="3" t="str">
        <f>CONCATENATE(LEFT(TRIM(A102),FIND(" ",A102,1)-1),"-",TRIM(NEW_FIXES!B99))</f>
        <v>SP-OPERATION-12.0.7</v>
      </c>
      <c r="D102" s="3" t="str">
        <f t="shared" si="6"/>
        <v/>
      </c>
      <c r="E102" s="7" t="str">
        <f t="shared" si="7"/>
        <v/>
      </c>
    </row>
    <row r="103" spans="1:5" hidden="1" x14ac:dyDescent="0.25">
      <c r="A103" s="3" t="str">
        <f>Query_Res!A100</f>
        <v xml:space="preserve">TELNET </v>
      </c>
      <c r="B103" s="3" t="str">
        <f>CONCATENATE(LEFT(TRIM(A103),FIND(" ",A103,1)-1),"-",TRIM(PREV_FIXES!B100))</f>
        <v>TELNET-054.1A.9</v>
      </c>
      <c r="C103" s="3" t="str">
        <f>CONCATENATE(LEFT(TRIM(A103),FIND(" ",A103,1)-1),"-",TRIM(NEW_FIXES!B100))</f>
        <v>TELNET-054.1A.9</v>
      </c>
      <c r="D103" s="3" t="str">
        <f t="shared" si="6"/>
        <v/>
      </c>
      <c r="E103" s="7" t="str">
        <f t="shared" si="7"/>
        <v/>
      </c>
    </row>
    <row r="104" spans="1:5" hidden="1" x14ac:dyDescent="0.25">
      <c r="A104" s="3" t="str">
        <f>Query_Res!A101</f>
        <v xml:space="preserve">TIME </v>
      </c>
      <c r="B104" s="3" t="str">
        <f>CONCATENATE(LEFT(TRIM(A104),FIND(" ",A104,1)-1),"-",TRIM(PREV_FIXES!B101))</f>
        <v>TIME-054.1A.3</v>
      </c>
      <c r="C104" s="3" t="str">
        <f>CONCATENATE(LEFT(TRIM(A104),FIND(" ",A104,1)-1),"-",TRIM(NEW_FIXES!B101))</f>
        <v>TIME-054.1A.3</v>
      </c>
      <c r="D104" s="3" t="str">
        <f t="shared" si="6"/>
        <v/>
      </c>
      <c r="E104" s="7" t="str">
        <f t="shared" si="7"/>
        <v/>
      </c>
    </row>
    <row r="105" spans="1:5" hidden="1" x14ac:dyDescent="0.25">
      <c r="A105" s="3" t="str">
        <f>Query_Res!A102</f>
        <v xml:space="preserve">WEBCOMPONENTS </v>
      </c>
      <c r="B105" s="3" t="str">
        <f>CONCATENATE(LEFT(TRIM(A105),FIND(" ",A105,1)-1),"-",TRIM(PREV_FIXES!B102))</f>
        <v>WEBCOMPONENTS-013.0A.25</v>
      </c>
      <c r="C105" s="3" t="str">
        <f>CONCATENATE(LEFT(TRIM(A105),FIND(" ",A105,1)-1),"-",TRIM(NEW_FIXES!B102))</f>
        <v>WEBCOMPONENTS-013.0A.25</v>
      </c>
      <c r="D105" s="3" t="str">
        <f t="shared" si="6"/>
        <v/>
      </c>
      <c r="E105" s="7" t="str">
        <f t="shared" si="7"/>
        <v/>
      </c>
    </row>
    <row r="106" spans="1:5" hidden="1" x14ac:dyDescent="0.25">
      <c r="A106" s="3" t="str">
        <f>Query_Res!A103</f>
        <v xml:space="preserve">WFL </v>
      </c>
      <c r="B106" s="3" t="str">
        <f>CONCATENATE(LEFT(TRIM(A106),FIND(" ",A106,1)-1),"-",TRIM(PREV_FIXES!B103))</f>
        <v>WFL-054.1A.5</v>
      </c>
      <c r="C106" s="3" t="str">
        <f>CONCATENATE(LEFT(TRIM(A106),FIND(" ",A106,1)-1),"-",TRIM(NEW_FIXES!B103))</f>
        <v>WFL-054.1A.5</v>
      </c>
      <c r="D106" s="3" t="str">
        <f t="shared" si="6"/>
        <v/>
      </c>
      <c r="E106" s="7" t="str">
        <f t="shared" si="7"/>
        <v/>
      </c>
    </row>
    <row r="107" spans="1:5" hidden="1" x14ac:dyDescent="0.25">
      <c r="A107" s="3" t="str">
        <f>Query_Res!A104</f>
        <v xml:space="preserve">WIN-RPC </v>
      </c>
      <c r="B107" s="3" t="str">
        <f>CONCATENATE(LEFT(TRIM(A107),FIND(" ",A107,1)-1),"-",TRIM(PREV_FIXES!B104))</f>
        <v>WIN-RPC-054.1A.8</v>
      </c>
      <c r="C107" s="3" t="str">
        <f>CONCATENATE(LEFT(TRIM(A107),FIND(" ",A107,1)-1),"-",TRIM(NEW_FIXES!B104))</f>
        <v>WIN-RPC-054.1A.8</v>
      </c>
      <c r="D107" s="3" t="str">
        <f t="shared" si="6"/>
        <v/>
      </c>
      <c r="E107" s="7" t="str">
        <f t="shared" si="7"/>
        <v/>
      </c>
    </row>
    <row r="108" spans="1:5" hidden="1" x14ac:dyDescent="0.25">
      <c r="A108" s="3" t="str">
        <f>Query_Res!A105</f>
        <v xml:space="preserve">XLATEEBCDIC </v>
      </c>
      <c r="B108" s="3" t="str">
        <f>CONCATENATE(LEFT(TRIM(A108),FIND(" ",A108,1)-1),"-",TRIM(PREV_FIXES!B105))</f>
        <v>XLATEEBCDIC-054.1A.18</v>
      </c>
      <c r="C108" s="3" t="str">
        <f>CONCATENATE(LEFT(TRIM(A108),FIND(" ",A108,1)-1),"-",TRIM(NEW_FIXES!B105))</f>
        <v>XLATEEBCDIC-054.1A.18</v>
      </c>
      <c r="D108" s="3" t="str">
        <f t="shared" si="6"/>
        <v/>
      </c>
      <c r="E108" s="7" t="str">
        <f t="shared" si="7"/>
        <v/>
      </c>
    </row>
    <row r="109" spans="1:5" x14ac:dyDescent="0.25">
      <c r="A109" s="6"/>
      <c r="B109" s="6"/>
      <c r="C109" s="6"/>
      <c r="D109" s="6"/>
      <c r="E109" s="11"/>
    </row>
    <row r="110" spans="1:5" x14ac:dyDescent="0.25">
      <c r="A110" s="6"/>
      <c r="B110" s="6"/>
      <c r="C110" s="6"/>
      <c r="D110" s="6"/>
      <c r="E110" s="11"/>
    </row>
    <row r="111" spans="1:5" x14ac:dyDescent="0.25">
      <c r="A111" s="6"/>
      <c r="B111" s="6"/>
      <c r="C111" s="6"/>
      <c r="D111" s="6"/>
      <c r="E111" s="11"/>
    </row>
  </sheetData>
  <mergeCells count="2">
    <mergeCell ref="A1:C1"/>
    <mergeCell ref="C2:C3"/>
  </mergeCells>
  <pageMargins left="0.25" right="0.25" top="0.75" bottom="0.75" header="0.3" footer="0.3"/>
  <pageSetup paperSize="8" scale="7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Update_Query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hisWorkbook.Update_Local">
                <anchor moveWithCells="1" sizeWithCells="1">
                  <from>
                    <xdr:col>4</xdr:col>
                    <xdr:colOff>0</xdr:colOff>
                    <xdr:row>0</xdr:row>
                    <xdr:rowOff>9525</xdr:rowOff>
                  </from>
                  <to>
                    <xdr:col>4</xdr:col>
                    <xdr:colOff>5829300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ThisWorkbook.Hide_NoUpdate">
                <anchor moveWithCells="1" sizeWithCells="1"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4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499984740745262"/>
  </sheetPr>
  <dimension ref="A1:C105"/>
  <sheetViews>
    <sheetView workbookViewId="0">
      <selection sqref="A1:C1048576"/>
    </sheetView>
  </sheetViews>
  <sheetFormatPr defaultRowHeight="15" x14ac:dyDescent="0.25"/>
  <cols>
    <col min="1" max="1" width="35.7109375" style="1" bestFit="1" customWidth="1"/>
    <col min="2" max="2" width="10.85546875" style="1" bestFit="1" customWidth="1"/>
    <col min="3" max="3" width="19" style="1" bestFit="1" customWidth="1"/>
    <col min="4" max="16384" width="9.140625" style="1"/>
  </cols>
  <sheetData>
    <row r="1" spans="1:3" x14ac:dyDescent="0.25">
      <c r="A1" s="1" t="s">
        <v>4</v>
      </c>
      <c r="B1" s="1" t="s">
        <v>5</v>
      </c>
      <c r="C1" s="1" t="s">
        <v>6</v>
      </c>
    </row>
    <row r="2" spans="1:3" x14ac:dyDescent="0.25">
      <c r="A2" s="1" t="s">
        <v>7</v>
      </c>
      <c r="B2" s="1" t="s">
        <v>8</v>
      </c>
      <c r="C2" s="1" t="s">
        <v>9</v>
      </c>
    </row>
    <row r="3" spans="1:3" x14ac:dyDescent="0.25">
      <c r="A3" s="1" t="s">
        <v>10</v>
      </c>
      <c r="B3" s="1" t="s">
        <v>11</v>
      </c>
      <c r="C3" s="1" t="s">
        <v>12</v>
      </c>
    </row>
    <row r="4" spans="1:3" x14ac:dyDescent="0.25">
      <c r="A4" s="1" t="s">
        <v>13</v>
      </c>
      <c r="B4" s="1" t="s">
        <v>14</v>
      </c>
      <c r="C4" s="1" t="s">
        <v>15</v>
      </c>
    </row>
    <row r="5" spans="1:3" x14ac:dyDescent="0.25">
      <c r="A5" s="1" t="s">
        <v>16</v>
      </c>
      <c r="B5" s="1" t="s">
        <v>17</v>
      </c>
      <c r="C5" s="1" t="s">
        <v>18</v>
      </c>
    </row>
    <row r="6" spans="1:3" x14ac:dyDescent="0.25">
      <c r="A6" s="1" t="s">
        <v>19</v>
      </c>
      <c r="B6" s="1" t="s">
        <v>20</v>
      </c>
      <c r="C6" s="1" t="s">
        <v>21</v>
      </c>
    </row>
    <row r="7" spans="1:3" x14ac:dyDescent="0.25">
      <c r="A7" s="1" t="s">
        <v>22</v>
      </c>
      <c r="B7" s="1" t="s">
        <v>23</v>
      </c>
      <c r="C7" s="1" t="s">
        <v>24</v>
      </c>
    </row>
    <row r="8" spans="1:3" x14ac:dyDescent="0.25">
      <c r="A8" s="1" t="s">
        <v>25</v>
      </c>
      <c r="B8" s="1" t="s">
        <v>23</v>
      </c>
      <c r="C8" s="1" t="s">
        <v>26</v>
      </c>
    </row>
    <row r="9" spans="1:3" x14ac:dyDescent="0.25">
      <c r="A9" s="1" t="s">
        <v>27</v>
      </c>
      <c r="B9" s="1" t="s">
        <v>28</v>
      </c>
      <c r="C9" s="1" t="s">
        <v>29</v>
      </c>
    </row>
    <row r="10" spans="1:3" x14ac:dyDescent="0.25">
      <c r="A10" s="1" t="s">
        <v>30</v>
      </c>
      <c r="B10" s="1" t="s">
        <v>31</v>
      </c>
      <c r="C10" s="1" t="s">
        <v>32</v>
      </c>
    </row>
    <row r="11" spans="1:3" x14ac:dyDescent="0.25">
      <c r="A11" s="1" t="s">
        <v>33</v>
      </c>
      <c r="B11" s="1" t="s">
        <v>34</v>
      </c>
      <c r="C11" s="1" t="s">
        <v>35</v>
      </c>
    </row>
    <row r="12" spans="1:3" x14ac:dyDescent="0.25">
      <c r="A12" s="1" t="s">
        <v>36</v>
      </c>
      <c r="B12" s="1" t="s">
        <v>235</v>
      </c>
      <c r="C12" s="1" t="s">
        <v>236</v>
      </c>
    </row>
    <row r="13" spans="1:3" x14ac:dyDescent="0.25">
      <c r="A13" s="1" t="s">
        <v>37</v>
      </c>
      <c r="B13" s="1" t="s">
        <v>38</v>
      </c>
      <c r="C13" s="1" t="s">
        <v>39</v>
      </c>
    </row>
    <row r="14" spans="1:3" x14ac:dyDescent="0.25">
      <c r="A14" s="1" t="s">
        <v>40</v>
      </c>
      <c r="B14" s="1" t="s">
        <v>41</v>
      </c>
      <c r="C14" s="1" t="s">
        <v>21</v>
      </c>
    </row>
    <row r="15" spans="1:3" x14ac:dyDescent="0.25">
      <c r="A15" s="1" t="s">
        <v>42</v>
      </c>
      <c r="B15" s="1" t="s">
        <v>34</v>
      </c>
      <c r="C15" s="1" t="s">
        <v>43</v>
      </c>
    </row>
    <row r="16" spans="1:3" x14ac:dyDescent="0.25">
      <c r="A16" s="1" t="s">
        <v>44</v>
      </c>
      <c r="B16" s="1" t="s">
        <v>45</v>
      </c>
      <c r="C16" s="1" t="s">
        <v>46</v>
      </c>
    </row>
    <row r="17" spans="1:3" x14ac:dyDescent="0.25">
      <c r="A17" s="1" t="s">
        <v>47</v>
      </c>
      <c r="B17" s="1" t="s">
        <v>48</v>
      </c>
      <c r="C17" s="1" t="s">
        <v>49</v>
      </c>
    </row>
    <row r="18" spans="1:3" x14ac:dyDescent="0.25">
      <c r="A18" s="1" t="s">
        <v>50</v>
      </c>
      <c r="B18" s="1" t="s">
        <v>23</v>
      </c>
      <c r="C18" s="1" t="s">
        <v>51</v>
      </c>
    </row>
    <row r="19" spans="1:3" x14ac:dyDescent="0.25">
      <c r="A19" s="1" t="s">
        <v>52</v>
      </c>
      <c r="B19" s="1" t="s">
        <v>53</v>
      </c>
      <c r="C19" s="1" t="s">
        <v>54</v>
      </c>
    </row>
    <row r="20" spans="1:3" x14ac:dyDescent="0.25">
      <c r="A20" s="1" t="s">
        <v>55</v>
      </c>
      <c r="B20" s="1" t="s">
        <v>34</v>
      </c>
      <c r="C20" s="1" t="s">
        <v>56</v>
      </c>
    </row>
    <row r="21" spans="1:3" x14ac:dyDescent="0.25">
      <c r="A21" s="1" t="s">
        <v>57</v>
      </c>
      <c r="B21" s="1" t="s">
        <v>8</v>
      </c>
      <c r="C21" s="1" t="s">
        <v>236</v>
      </c>
    </row>
    <row r="22" spans="1:3" x14ac:dyDescent="0.25">
      <c r="A22" s="1" t="s">
        <v>58</v>
      </c>
      <c r="B22" s="1" t="s">
        <v>59</v>
      </c>
      <c r="C22" s="1" t="s">
        <v>60</v>
      </c>
    </row>
    <row r="23" spans="1:3" x14ac:dyDescent="0.25">
      <c r="A23" s="1" t="s">
        <v>58</v>
      </c>
      <c r="B23" s="1" t="s">
        <v>61</v>
      </c>
      <c r="C23" s="1" t="s">
        <v>60</v>
      </c>
    </row>
    <row r="24" spans="1:3" x14ac:dyDescent="0.25">
      <c r="A24" s="1" t="s">
        <v>58</v>
      </c>
      <c r="B24" s="1" t="s">
        <v>62</v>
      </c>
      <c r="C24" s="1" t="s">
        <v>63</v>
      </c>
    </row>
    <row r="25" spans="1:3" x14ac:dyDescent="0.25">
      <c r="A25" s="1" t="s">
        <v>64</v>
      </c>
      <c r="B25" s="1" t="s">
        <v>53</v>
      </c>
      <c r="C25" s="1" t="s">
        <v>65</v>
      </c>
    </row>
    <row r="26" spans="1:3" x14ac:dyDescent="0.25">
      <c r="A26" s="1" t="s">
        <v>66</v>
      </c>
      <c r="B26" s="1" t="s">
        <v>53</v>
      </c>
      <c r="C26" s="1" t="s">
        <v>65</v>
      </c>
    </row>
    <row r="27" spans="1:3" x14ac:dyDescent="0.25">
      <c r="A27" s="1" t="s">
        <v>67</v>
      </c>
      <c r="B27" s="1" t="s">
        <v>68</v>
      </c>
      <c r="C27" s="1" t="s">
        <v>21</v>
      </c>
    </row>
    <row r="28" spans="1:3" x14ac:dyDescent="0.25">
      <c r="A28" s="1" t="s">
        <v>69</v>
      </c>
      <c r="B28" s="1" t="s">
        <v>70</v>
      </c>
      <c r="C28" s="1" t="s">
        <v>71</v>
      </c>
    </row>
    <row r="29" spans="1:3" x14ac:dyDescent="0.25">
      <c r="A29" s="1" t="s">
        <v>72</v>
      </c>
      <c r="B29" s="1" t="s">
        <v>14</v>
      </c>
      <c r="C29" s="1" t="s">
        <v>73</v>
      </c>
    </row>
    <row r="30" spans="1:3" x14ac:dyDescent="0.25">
      <c r="A30" s="1" t="s">
        <v>74</v>
      </c>
      <c r="B30" s="1" t="s">
        <v>75</v>
      </c>
      <c r="C30" s="1" t="s">
        <v>76</v>
      </c>
    </row>
    <row r="31" spans="1:3" x14ac:dyDescent="0.25">
      <c r="A31" s="1" t="s">
        <v>77</v>
      </c>
      <c r="B31" s="1" t="s">
        <v>23</v>
      </c>
      <c r="C31" s="1" t="s">
        <v>78</v>
      </c>
    </row>
    <row r="32" spans="1:3" x14ac:dyDescent="0.25">
      <c r="A32" s="1" t="s">
        <v>79</v>
      </c>
      <c r="B32" s="1" t="s">
        <v>34</v>
      </c>
      <c r="C32" s="1" t="s">
        <v>43</v>
      </c>
    </row>
    <row r="33" spans="1:3" x14ac:dyDescent="0.25">
      <c r="A33" s="1" t="s">
        <v>80</v>
      </c>
      <c r="B33" s="1" t="s">
        <v>81</v>
      </c>
      <c r="C33" s="1" t="s">
        <v>29</v>
      </c>
    </row>
    <row r="34" spans="1:3" x14ac:dyDescent="0.25">
      <c r="A34" s="1" t="s">
        <v>82</v>
      </c>
      <c r="B34" s="1" t="s">
        <v>34</v>
      </c>
      <c r="C34" s="1" t="s">
        <v>83</v>
      </c>
    </row>
    <row r="35" spans="1:3" x14ac:dyDescent="0.25">
      <c r="A35" s="1" t="s">
        <v>84</v>
      </c>
      <c r="B35" s="1" t="s">
        <v>85</v>
      </c>
      <c r="C35" s="1" t="s">
        <v>86</v>
      </c>
    </row>
    <row r="36" spans="1:3" x14ac:dyDescent="0.25">
      <c r="A36" s="1" t="s">
        <v>87</v>
      </c>
      <c r="B36" s="1" t="s">
        <v>23</v>
      </c>
      <c r="C36" s="1" t="s">
        <v>88</v>
      </c>
    </row>
    <row r="37" spans="1:3" x14ac:dyDescent="0.25">
      <c r="A37" s="1" t="s">
        <v>89</v>
      </c>
      <c r="B37" s="1" t="s">
        <v>14</v>
      </c>
      <c r="C37" s="1" t="s">
        <v>90</v>
      </c>
    </row>
    <row r="38" spans="1:3" x14ac:dyDescent="0.25">
      <c r="A38" s="1" t="s">
        <v>91</v>
      </c>
      <c r="B38" s="1" t="s">
        <v>34</v>
      </c>
      <c r="C38" s="1" t="s">
        <v>92</v>
      </c>
    </row>
    <row r="39" spans="1:3" x14ac:dyDescent="0.25">
      <c r="A39" s="1" t="s">
        <v>93</v>
      </c>
      <c r="B39" s="1" t="s">
        <v>14</v>
      </c>
      <c r="C39" s="1" t="s">
        <v>94</v>
      </c>
    </row>
    <row r="40" spans="1:3" x14ac:dyDescent="0.25">
      <c r="A40" s="1" t="s">
        <v>95</v>
      </c>
      <c r="B40" s="1" t="s">
        <v>8</v>
      </c>
      <c r="C40" s="1" t="s">
        <v>96</v>
      </c>
    </row>
    <row r="41" spans="1:3" x14ac:dyDescent="0.25">
      <c r="A41" s="1" t="s">
        <v>97</v>
      </c>
      <c r="B41" s="1" t="s">
        <v>98</v>
      </c>
      <c r="C41" s="1" t="s">
        <v>99</v>
      </c>
    </row>
    <row r="42" spans="1:3" x14ac:dyDescent="0.25">
      <c r="A42" s="1" t="s">
        <v>100</v>
      </c>
      <c r="B42" s="1" t="s">
        <v>23</v>
      </c>
      <c r="C42" s="1" t="s">
        <v>101</v>
      </c>
    </row>
    <row r="43" spans="1:3" x14ac:dyDescent="0.25">
      <c r="A43" s="1" t="s">
        <v>102</v>
      </c>
      <c r="B43" s="1" t="s">
        <v>103</v>
      </c>
      <c r="C43" s="1" t="s">
        <v>104</v>
      </c>
    </row>
    <row r="44" spans="1:3" x14ac:dyDescent="0.25">
      <c r="A44" s="1" t="s">
        <v>105</v>
      </c>
      <c r="B44" s="1" t="s">
        <v>81</v>
      </c>
      <c r="C44" s="1" t="s">
        <v>106</v>
      </c>
    </row>
    <row r="45" spans="1:3" x14ac:dyDescent="0.25">
      <c r="A45" s="1" t="s">
        <v>107</v>
      </c>
      <c r="B45" s="1" t="s">
        <v>8</v>
      </c>
      <c r="C45" s="1" t="s">
        <v>9</v>
      </c>
    </row>
    <row r="46" spans="1:3" x14ac:dyDescent="0.25">
      <c r="A46" s="1" t="s">
        <v>108</v>
      </c>
      <c r="B46" s="1" t="s">
        <v>109</v>
      </c>
      <c r="C46" s="1" t="s">
        <v>110</v>
      </c>
    </row>
    <row r="47" spans="1:3" x14ac:dyDescent="0.25">
      <c r="A47" s="1" t="s">
        <v>111</v>
      </c>
      <c r="B47" s="1" t="s">
        <v>34</v>
      </c>
      <c r="C47" s="1" t="s">
        <v>112</v>
      </c>
    </row>
    <row r="48" spans="1:3" x14ac:dyDescent="0.25">
      <c r="A48" s="1" t="s">
        <v>113</v>
      </c>
      <c r="B48" s="1" t="s">
        <v>114</v>
      </c>
      <c r="C48" s="1" t="s">
        <v>115</v>
      </c>
    </row>
    <row r="49" spans="1:3" x14ac:dyDescent="0.25">
      <c r="A49" s="1" t="s">
        <v>116</v>
      </c>
      <c r="B49" s="1" t="s">
        <v>117</v>
      </c>
      <c r="C49" s="1" t="s">
        <v>21</v>
      </c>
    </row>
    <row r="50" spans="1:3" x14ac:dyDescent="0.25">
      <c r="A50" s="1" t="s">
        <v>118</v>
      </c>
      <c r="B50" s="1" t="s">
        <v>119</v>
      </c>
      <c r="C50" s="1" t="s">
        <v>120</v>
      </c>
    </row>
    <row r="51" spans="1:3" x14ac:dyDescent="0.25">
      <c r="A51" s="1" t="s">
        <v>121</v>
      </c>
      <c r="B51" s="1" t="s">
        <v>122</v>
      </c>
      <c r="C51" s="1" t="s">
        <v>123</v>
      </c>
    </row>
    <row r="52" spans="1:3" x14ac:dyDescent="0.25">
      <c r="A52" s="1" t="s">
        <v>124</v>
      </c>
      <c r="B52" s="1" t="s">
        <v>34</v>
      </c>
      <c r="C52" s="1" t="s">
        <v>125</v>
      </c>
    </row>
    <row r="53" spans="1:3" x14ac:dyDescent="0.25">
      <c r="A53" s="1" t="s">
        <v>126</v>
      </c>
      <c r="B53" s="1" t="s">
        <v>8</v>
      </c>
      <c r="C53" s="1" t="s">
        <v>127</v>
      </c>
    </row>
    <row r="54" spans="1:3" x14ac:dyDescent="0.25">
      <c r="A54" s="1" t="s">
        <v>128</v>
      </c>
      <c r="B54" s="1" t="s">
        <v>129</v>
      </c>
      <c r="C54" s="1" t="s">
        <v>130</v>
      </c>
    </row>
    <row r="55" spans="1:3" x14ac:dyDescent="0.25">
      <c r="A55" s="1" t="s">
        <v>131</v>
      </c>
      <c r="B55" s="1" t="s">
        <v>129</v>
      </c>
      <c r="C55" s="1" t="s">
        <v>132</v>
      </c>
    </row>
    <row r="56" spans="1:3" x14ac:dyDescent="0.25">
      <c r="A56" s="1" t="s">
        <v>133</v>
      </c>
      <c r="B56" s="1" t="s">
        <v>134</v>
      </c>
      <c r="C56" s="1" t="s">
        <v>135</v>
      </c>
    </row>
    <row r="57" spans="1:3" x14ac:dyDescent="0.25">
      <c r="A57" s="1" t="s">
        <v>136</v>
      </c>
      <c r="B57" s="1" t="s">
        <v>28</v>
      </c>
      <c r="C57" s="1" t="s">
        <v>137</v>
      </c>
    </row>
    <row r="58" spans="1:3" x14ac:dyDescent="0.25">
      <c r="A58" s="1" t="s">
        <v>138</v>
      </c>
      <c r="B58" s="1" t="s">
        <v>139</v>
      </c>
      <c r="C58" s="1" t="s">
        <v>140</v>
      </c>
    </row>
    <row r="59" spans="1:3" x14ac:dyDescent="0.25">
      <c r="A59" s="1" t="s">
        <v>141</v>
      </c>
      <c r="B59" s="1" t="s">
        <v>38</v>
      </c>
      <c r="C59" s="1" t="s">
        <v>142</v>
      </c>
    </row>
    <row r="60" spans="1:3" x14ac:dyDescent="0.25">
      <c r="A60" s="1" t="s">
        <v>143</v>
      </c>
      <c r="B60" s="1" t="s">
        <v>144</v>
      </c>
      <c r="C60" s="1" t="s">
        <v>104</v>
      </c>
    </row>
    <row r="61" spans="1:3" x14ac:dyDescent="0.25">
      <c r="A61" s="1" t="s">
        <v>145</v>
      </c>
      <c r="B61" s="1" t="s">
        <v>53</v>
      </c>
      <c r="C61" s="1" t="s">
        <v>146</v>
      </c>
    </row>
    <row r="62" spans="1:3" x14ac:dyDescent="0.25">
      <c r="A62" s="1" t="s">
        <v>147</v>
      </c>
      <c r="B62" s="1" t="s">
        <v>148</v>
      </c>
      <c r="C62" s="1" t="s">
        <v>149</v>
      </c>
    </row>
    <row r="63" spans="1:3" x14ac:dyDescent="0.25">
      <c r="A63" s="1" t="s">
        <v>150</v>
      </c>
      <c r="B63" s="1" t="s">
        <v>151</v>
      </c>
      <c r="C63" s="1" t="s">
        <v>152</v>
      </c>
    </row>
    <row r="64" spans="1:3" x14ac:dyDescent="0.25">
      <c r="A64" s="1" t="s">
        <v>153</v>
      </c>
      <c r="B64" s="1" t="s">
        <v>31</v>
      </c>
      <c r="C64" s="1" t="s">
        <v>154</v>
      </c>
    </row>
    <row r="65" spans="1:3" x14ac:dyDescent="0.25">
      <c r="A65" s="1" t="s">
        <v>155</v>
      </c>
      <c r="B65" s="1" t="s">
        <v>34</v>
      </c>
      <c r="C65" s="1" t="s">
        <v>156</v>
      </c>
    </row>
    <row r="66" spans="1:3" x14ac:dyDescent="0.25">
      <c r="A66" s="1" t="s">
        <v>157</v>
      </c>
      <c r="B66" s="1" t="s">
        <v>23</v>
      </c>
      <c r="C66" s="1" t="s">
        <v>158</v>
      </c>
    </row>
    <row r="67" spans="1:3" x14ac:dyDescent="0.25">
      <c r="A67" s="1" t="s">
        <v>159</v>
      </c>
      <c r="B67" s="1" t="s">
        <v>14</v>
      </c>
      <c r="C67" s="1" t="s">
        <v>160</v>
      </c>
    </row>
    <row r="68" spans="1:3" x14ac:dyDescent="0.25">
      <c r="A68" s="1" t="s">
        <v>161</v>
      </c>
      <c r="B68" s="1" t="s">
        <v>23</v>
      </c>
      <c r="C68" s="1" t="s">
        <v>162</v>
      </c>
    </row>
    <row r="69" spans="1:3" x14ac:dyDescent="0.25">
      <c r="A69" s="1" t="s">
        <v>163</v>
      </c>
      <c r="B69" s="1" t="s">
        <v>53</v>
      </c>
      <c r="C69" s="1" t="s">
        <v>164</v>
      </c>
    </row>
    <row r="70" spans="1:3" x14ac:dyDescent="0.25">
      <c r="A70" s="1" t="s">
        <v>165</v>
      </c>
      <c r="B70" s="1" t="s">
        <v>166</v>
      </c>
      <c r="C70" s="1" t="s">
        <v>127</v>
      </c>
    </row>
    <row r="71" spans="1:3" x14ac:dyDescent="0.25">
      <c r="A71" s="1" t="s">
        <v>167</v>
      </c>
      <c r="B71" s="1" t="s">
        <v>8</v>
      </c>
      <c r="C71" s="1" t="s">
        <v>168</v>
      </c>
    </row>
    <row r="72" spans="1:3" x14ac:dyDescent="0.25">
      <c r="A72" s="1" t="s">
        <v>169</v>
      </c>
      <c r="B72" s="1" t="s">
        <v>170</v>
      </c>
      <c r="C72" s="1" t="s">
        <v>171</v>
      </c>
    </row>
    <row r="73" spans="1:3" x14ac:dyDescent="0.25">
      <c r="A73" s="1" t="s">
        <v>172</v>
      </c>
      <c r="B73" s="1" t="s">
        <v>85</v>
      </c>
      <c r="C73" s="1" t="s">
        <v>173</v>
      </c>
    </row>
    <row r="74" spans="1:3" x14ac:dyDescent="0.25">
      <c r="A74" s="1" t="s">
        <v>174</v>
      </c>
      <c r="B74" s="1" t="s">
        <v>175</v>
      </c>
      <c r="C74" s="1" t="s">
        <v>176</v>
      </c>
    </row>
    <row r="75" spans="1:3" x14ac:dyDescent="0.25">
      <c r="A75" s="1" t="s">
        <v>177</v>
      </c>
      <c r="B75" s="1" t="s">
        <v>103</v>
      </c>
      <c r="C75" s="1" t="s">
        <v>104</v>
      </c>
    </row>
    <row r="76" spans="1:3" x14ac:dyDescent="0.25">
      <c r="A76" s="1" t="s">
        <v>178</v>
      </c>
      <c r="B76" s="1" t="s">
        <v>148</v>
      </c>
      <c r="C76" s="1" t="s">
        <v>179</v>
      </c>
    </row>
    <row r="77" spans="1:3" x14ac:dyDescent="0.25">
      <c r="A77" s="1" t="s">
        <v>180</v>
      </c>
      <c r="B77" s="1" t="s">
        <v>31</v>
      </c>
      <c r="C77" s="1" t="s">
        <v>154</v>
      </c>
    </row>
    <row r="78" spans="1:3" x14ac:dyDescent="0.25">
      <c r="A78" s="1" t="s">
        <v>181</v>
      </c>
      <c r="B78" s="1" t="s">
        <v>182</v>
      </c>
      <c r="C78" s="1" t="s">
        <v>183</v>
      </c>
    </row>
    <row r="79" spans="1:3" x14ac:dyDescent="0.25">
      <c r="A79" s="1" t="s">
        <v>184</v>
      </c>
      <c r="B79" s="1" t="s">
        <v>185</v>
      </c>
      <c r="C79" s="1" t="s">
        <v>186</v>
      </c>
    </row>
    <row r="80" spans="1:3" x14ac:dyDescent="0.25">
      <c r="A80" s="1" t="s">
        <v>187</v>
      </c>
      <c r="B80" s="1" t="s">
        <v>28</v>
      </c>
      <c r="C80" s="1" t="s">
        <v>188</v>
      </c>
    </row>
    <row r="81" spans="1:3" x14ac:dyDescent="0.25">
      <c r="A81" s="1" t="s">
        <v>189</v>
      </c>
      <c r="B81" s="1" t="s">
        <v>34</v>
      </c>
      <c r="C81" s="1" t="s">
        <v>190</v>
      </c>
    </row>
    <row r="82" spans="1:3" x14ac:dyDescent="0.25">
      <c r="A82" s="1" t="s">
        <v>191</v>
      </c>
      <c r="B82" s="1" t="s">
        <v>23</v>
      </c>
      <c r="C82" s="1" t="s">
        <v>192</v>
      </c>
    </row>
    <row r="83" spans="1:3" x14ac:dyDescent="0.25">
      <c r="A83" s="1" t="s">
        <v>193</v>
      </c>
      <c r="B83" s="1" t="s">
        <v>34</v>
      </c>
      <c r="C83" s="1" t="s">
        <v>194</v>
      </c>
    </row>
    <row r="84" spans="1:3" x14ac:dyDescent="0.25">
      <c r="A84" s="1" t="s">
        <v>195</v>
      </c>
      <c r="B84" s="1" t="s">
        <v>31</v>
      </c>
      <c r="C84" s="1" t="s">
        <v>154</v>
      </c>
    </row>
    <row r="85" spans="1:3" x14ac:dyDescent="0.25">
      <c r="A85" s="1" t="s">
        <v>196</v>
      </c>
      <c r="B85" s="1" t="s">
        <v>68</v>
      </c>
      <c r="C85" s="1" t="s">
        <v>21</v>
      </c>
    </row>
    <row r="86" spans="1:3" x14ac:dyDescent="0.25">
      <c r="A86" s="1" t="s">
        <v>197</v>
      </c>
      <c r="B86" s="1" t="s">
        <v>8</v>
      </c>
      <c r="C86" s="1" t="s">
        <v>198</v>
      </c>
    </row>
    <row r="87" spans="1:3" x14ac:dyDescent="0.25">
      <c r="A87" s="1" t="s">
        <v>199</v>
      </c>
      <c r="B87" s="1" t="s">
        <v>68</v>
      </c>
      <c r="C87" s="1" t="s">
        <v>21</v>
      </c>
    </row>
    <row r="88" spans="1:3" x14ac:dyDescent="0.25">
      <c r="A88" s="1" t="s">
        <v>200</v>
      </c>
      <c r="B88" s="1" t="s">
        <v>8</v>
      </c>
      <c r="C88" s="1" t="s">
        <v>201</v>
      </c>
    </row>
    <row r="89" spans="1:3" x14ac:dyDescent="0.25">
      <c r="A89" s="1" t="s">
        <v>202</v>
      </c>
      <c r="B89" s="1" t="s">
        <v>203</v>
      </c>
      <c r="C89" s="1" t="s">
        <v>137</v>
      </c>
    </row>
    <row r="90" spans="1:3" x14ac:dyDescent="0.25">
      <c r="A90" s="1" t="s">
        <v>204</v>
      </c>
      <c r="B90" s="1" t="s">
        <v>38</v>
      </c>
      <c r="C90" s="1" t="s">
        <v>90</v>
      </c>
    </row>
    <row r="91" spans="1:3" x14ac:dyDescent="0.25">
      <c r="A91" s="1" t="s">
        <v>205</v>
      </c>
      <c r="B91" s="1" t="s">
        <v>34</v>
      </c>
      <c r="C91" s="1" t="s">
        <v>206</v>
      </c>
    </row>
    <row r="92" spans="1:3" x14ac:dyDescent="0.25">
      <c r="A92" s="1" t="s">
        <v>207</v>
      </c>
      <c r="B92" s="1" t="s">
        <v>23</v>
      </c>
      <c r="C92" s="1" t="s">
        <v>208</v>
      </c>
    </row>
    <row r="93" spans="1:3" x14ac:dyDescent="0.25">
      <c r="A93" s="1" t="s">
        <v>209</v>
      </c>
      <c r="B93" s="1" t="s">
        <v>103</v>
      </c>
      <c r="C93" s="1" t="s">
        <v>210</v>
      </c>
    </row>
    <row r="94" spans="1:3" x14ac:dyDescent="0.25">
      <c r="A94" s="1" t="s">
        <v>211</v>
      </c>
      <c r="B94" s="1" t="s">
        <v>212</v>
      </c>
      <c r="C94" s="1" t="s">
        <v>213</v>
      </c>
    </row>
    <row r="95" spans="1:3" x14ac:dyDescent="0.25">
      <c r="A95" s="1" t="s">
        <v>214</v>
      </c>
      <c r="B95" s="1" t="s">
        <v>215</v>
      </c>
      <c r="C95" s="1" t="s">
        <v>216</v>
      </c>
    </row>
    <row r="96" spans="1:3" x14ac:dyDescent="0.25">
      <c r="A96" s="1" t="s">
        <v>217</v>
      </c>
      <c r="B96" s="1" t="s">
        <v>175</v>
      </c>
      <c r="C96" s="1" t="s">
        <v>176</v>
      </c>
    </row>
    <row r="97" spans="1:3" x14ac:dyDescent="0.25">
      <c r="A97" s="1" t="s">
        <v>218</v>
      </c>
      <c r="B97" s="1" t="s">
        <v>23</v>
      </c>
      <c r="C97" s="1" t="s">
        <v>219</v>
      </c>
    </row>
    <row r="98" spans="1:3" x14ac:dyDescent="0.25">
      <c r="A98" s="1" t="s">
        <v>220</v>
      </c>
      <c r="B98" s="1" t="s">
        <v>221</v>
      </c>
      <c r="C98" s="1" t="s">
        <v>222</v>
      </c>
    </row>
    <row r="99" spans="1:3" x14ac:dyDescent="0.25">
      <c r="A99" s="1" t="s">
        <v>220</v>
      </c>
      <c r="B99" s="1" t="s">
        <v>223</v>
      </c>
      <c r="C99" s="1" t="s">
        <v>140</v>
      </c>
    </row>
    <row r="100" spans="1:3" x14ac:dyDescent="0.25">
      <c r="A100" s="1" t="s">
        <v>224</v>
      </c>
      <c r="B100" s="1" t="s">
        <v>38</v>
      </c>
      <c r="C100" s="1" t="s">
        <v>225</v>
      </c>
    </row>
    <row r="101" spans="1:3" x14ac:dyDescent="0.25">
      <c r="A101" s="1" t="s">
        <v>226</v>
      </c>
      <c r="B101" s="1" t="s">
        <v>8</v>
      </c>
      <c r="C101" s="1" t="s">
        <v>227</v>
      </c>
    </row>
    <row r="102" spans="1:3" x14ac:dyDescent="0.25">
      <c r="A102" s="1" t="s">
        <v>228</v>
      </c>
      <c r="B102" s="1" t="s">
        <v>185</v>
      </c>
      <c r="C102" s="1" t="s">
        <v>186</v>
      </c>
    </row>
    <row r="103" spans="1:3" x14ac:dyDescent="0.25">
      <c r="A103" s="1" t="s">
        <v>229</v>
      </c>
      <c r="B103" s="1" t="s">
        <v>53</v>
      </c>
      <c r="C103" s="1" t="s">
        <v>230</v>
      </c>
    </row>
    <row r="104" spans="1:3" x14ac:dyDescent="0.25">
      <c r="A104" s="1" t="s">
        <v>231</v>
      </c>
      <c r="B104" s="1" t="s">
        <v>17</v>
      </c>
      <c r="C104" s="1" t="s">
        <v>176</v>
      </c>
    </row>
    <row r="105" spans="1:3" x14ac:dyDescent="0.25">
      <c r="A105" s="1" t="s">
        <v>232</v>
      </c>
      <c r="B105" s="1" t="s">
        <v>233</v>
      </c>
      <c r="C105" s="1" t="s">
        <v>222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499984740745262"/>
  </sheetPr>
  <dimension ref="A1:C105"/>
  <sheetViews>
    <sheetView workbookViewId="0">
      <selection sqref="A1:C1048576"/>
    </sheetView>
  </sheetViews>
  <sheetFormatPr defaultRowHeight="15" x14ac:dyDescent="0.25"/>
  <cols>
    <col min="1" max="1" width="35.7109375" style="1" bestFit="1" customWidth="1"/>
    <col min="2" max="2" width="10.85546875" style="1" bestFit="1" customWidth="1"/>
    <col min="3" max="3" width="19" style="1" bestFit="1" customWidth="1"/>
    <col min="4" max="16384" width="9.140625" style="1"/>
  </cols>
  <sheetData>
    <row r="1" spans="1:3" x14ac:dyDescent="0.25">
      <c r="A1" s="1" t="s">
        <v>4</v>
      </c>
      <c r="B1" s="1" t="s">
        <v>5</v>
      </c>
      <c r="C1" s="1" t="s">
        <v>6</v>
      </c>
    </row>
    <row r="2" spans="1:3" x14ac:dyDescent="0.25">
      <c r="A2" s="1" t="s">
        <v>7</v>
      </c>
      <c r="B2" s="1" t="s">
        <v>8</v>
      </c>
      <c r="C2" s="1" t="s">
        <v>9</v>
      </c>
    </row>
    <row r="3" spans="1:3" x14ac:dyDescent="0.25">
      <c r="A3" s="1" t="s">
        <v>10</v>
      </c>
      <c r="B3" s="1" t="s">
        <v>11</v>
      </c>
      <c r="C3" s="1" t="s">
        <v>12</v>
      </c>
    </row>
    <row r="4" spans="1:3" x14ac:dyDescent="0.25">
      <c r="A4" s="1" t="s">
        <v>13</v>
      </c>
      <c r="B4" s="1" t="s">
        <v>14</v>
      </c>
      <c r="C4" s="1" t="s">
        <v>15</v>
      </c>
    </row>
    <row r="5" spans="1:3" x14ac:dyDescent="0.25">
      <c r="A5" s="1" t="s">
        <v>16</v>
      </c>
      <c r="B5" s="1" t="s">
        <v>17</v>
      </c>
      <c r="C5" s="1" t="s">
        <v>18</v>
      </c>
    </row>
    <row r="6" spans="1:3" x14ac:dyDescent="0.25">
      <c r="A6" s="1" t="s">
        <v>19</v>
      </c>
      <c r="B6" s="1" t="s">
        <v>20</v>
      </c>
      <c r="C6" s="1" t="s">
        <v>21</v>
      </c>
    </row>
    <row r="7" spans="1:3" x14ac:dyDescent="0.25">
      <c r="A7" s="1" t="s">
        <v>22</v>
      </c>
      <c r="B7" s="1" t="s">
        <v>23</v>
      </c>
      <c r="C7" s="1" t="s">
        <v>24</v>
      </c>
    </row>
    <row r="8" spans="1:3" x14ac:dyDescent="0.25">
      <c r="A8" s="1" t="s">
        <v>25</v>
      </c>
      <c r="B8" s="1" t="s">
        <v>23</v>
      </c>
      <c r="C8" s="1" t="s">
        <v>26</v>
      </c>
    </row>
    <row r="9" spans="1:3" x14ac:dyDescent="0.25">
      <c r="A9" s="1" t="s">
        <v>27</v>
      </c>
      <c r="B9" s="1" t="s">
        <v>28</v>
      </c>
      <c r="C9" s="1" t="s">
        <v>29</v>
      </c>
    </row>
    <row r="10" spans="1:3" x14ac:dyDescent="0.25">
      <c r="A10" s="1" t="s">
        <v>30</v>
      </c>
      <c r="B10" s="1" t="s">
        <v>31</v>
      </c>
      <c r="C10" s="1" t="s">
        <v>32</v>
      </c>
    </row>
    <row r="11" spans="1:3" x14ac:dyDescent="0.25">
      <c r="A11" s="1" t="s">
        <v>33</v>
      </c>
      <c r="B11" s="1" t="s">
        <v>34</v>
      </c>
      <c r="C11" s="1" t="s">
        <v>35</v>
      </c>
    </row>
    <row r="12" spans="1:3" x14ac:dyDescent="0.25">
      <c r="A12" s="1" t="s">
        <v>36</v>
      </c>
      <c r="B12" s="1" t="s">
        <v>235</v>
      </c>
      <c r="C12" s="1" t="s">
        <v>236</v>
      </c>
    </row>
    <row r="13" spans="1:3" x14ac:dyDescent="0.25">
      <c r="A13" s="1" t="s">
        <v>37</v>
      </c>
      <c r="B13" s="1" t="s">
        <v>38</v>
      </c>
      <c r="C13" s="1" t="s">
        <v>39</v>
      </c>
    </row>
    <row r="14" spans="1:3" x14ac:dyDescent="0.25">
      <c r="A14" s="1" t="s">
        <v>40</v>
      </c>
      <c r="B14" s="1" t="s">
        <v>41</v>
      </c>
      <c r="C14" s="1" t="s">
        <v>21</v>
      </c>
    </row>
    <row r="15" spans="1:3" x14ac:dyDescent="0.25">
      <c r="A15" s="1" t="s">
        <v>42</v>
      </c>
      <c r="B15" s="1" t="s">
        <v>34</v>
      </c>
      <c r="C15" s="1" t="s">
        <v>43</v>
      </c>
    </row>
    <row r="16" spans="1:3" x14ac:dyDescent="0.25">
      <c r="A16" s="1" t="s">
        <v>44</v>
      </c>
      <c r="B16" s="1" t="s">
        <v>45</v>
      </c>
      <c r="C16" s="1" t="s">
        <v>46</v>
      </c>
    </row>
    <row r="17" spans="1:3" x14ac:dyDescent="0.25">
      <c r="A17" s="1" t="s">
        <v>47</v>
      </c>
      <c r="B17" s="1" t="s">
        <v>48</v>
      </c>
      <c r="C17" s="1" t="s">
        <v>49</v>
      </c>
    </row>
    <row r="18" spans="1:3" x14ac:dyDescent="0.25">
      <c r="A18" s="1" t="s">
        <v>50</v>
      </c>
      <c r="B18" s="1" t="s">
        <v>23</v>
      </c>
      <c r="C18" s="1" t="s">
        <v>51</v>
      </c>
    </row>
    <row r="19" spans="1:3" x14ac:dyDescent="0.25">
      <c r="A19" s="1" t="s">
        <v>52</v>
      </c>
      <c r="B19" s="1" t="s">
        <v>53</v>
      </c>
      <c r="C19" s="1" t="s">
        <v>54</v>
      </c>
    </row>
    <row r="20" spans="1:3" x14ac:dyDescent="0.25">
      <c r="A20" s="1" t="s">
        <v>55</v>
      </c>
      <c r="B20" s="1" t="s">
        <v>34</v>
      </c>
      <c r="C20" s="1" t="s">
        <v>56</v>
      </c>
    </row>
    <row r="21" spans="1:3" x14ac:dyDescent="0.25">
      <c r="A21" s="1" t="s">
        <v>57</v>
      </c>
      <c r="B21" s="1" t="s">
        <v>8</v>
      </c>
      <c r="C21" s="1" t="s">
        <v>236</v>
      </c>
    </row>
    <row r="22" spans="1:3" x14ac:dyDescent="0.25">
      <c r="A22" s="1" t="s">
        <v>58</v>
      </c>
      <c r="B22" s="1" t="s">
        <v>59</v>
      </c>
      <c r="C22" s="1" t="s">
        <v>60</v>
      </c>
    </row>
    <row r="23" spans="1:3" x14ac:dyDescent="0.25">
      <c r="A23" s="1" t="s">
        <v>58</v>
      </c>
      <c r="B23" s="1" t="s">
        <v>61</v>
      </c>
      <c r="C23" s="1" t="s">
        <v>60</v>
      </c>
    </row>
    <row r="24" spans="1:3" x14ac:dyDescent="0.25">
      <c r="A24" s="1" t="s">
        <v>58</v>
      </c>
      <c r="B24" s="1" t="s">
        <v>62</v>
      </c>
      <c r="C24" s="1" t="s">
        <v>63</v>
      </c>
    </row>
    <row r="25" spans="1:3" x14ac:dyDescent="0.25">
      <c r="A25" s="1" t="s">
        <v>64</v>
      </c>
      <c r="B25" s="1" t="s">
        <v>53</v>
      </c>
      <c r="C25" s="1" t="s">
        <v>65</v>
      </c>
    </row>
    <row r="26" spans="1:3" x14ac:dyDescent="0.25">
      <c r="A26" s="1" t="s">
        <v>66</v>
      </c>
      <c r="B26" s="1" t="s">
        <v>53</v>
      </c>
      <c r="C26" s="1" t="s">
        <v>65</v>
      </c>
    </row>
    <row r="27" spans="1:3" x14ac:dyDescent="0.25">
      <c r="A27" s="1" t="s">
        <v>67</v>
      </c>
      <c r="B27" s="1" t="s">
        <v>68</v>
      </c>
      <c r="C27" s="1" t="s">
        <v>21</v>
      </c>
    </row>
    <row r="28" spans="1:3" x14ac:dyDescent="0.25">
      <c r="A28" s="1" t="s">
        <v>69</v>
      </c>
      <c r="B28" s="1" t="s">
        <v>70</v>
      </c>
      <c r="C28" s="1" t="s">
        <v>71</v>
      </c>
    </row>
    <row r="29" spans="1:3" x14ac:dyDescent="0.25">
      <c r="A29" s="1" t="s">
        <v>72</v>
      </c>
      <c r="B29" s="1" t="s">
        <v>14</v>
      </c>
      <c r="C29" s="1" t="s">
        <v>73</v>
      </c>
    </row>
    <row r="30" spans="1:3" x14ac:dyDescent="0.25">
      <c r="A30" s="1" t="s">
        <v>74</v>
      </c>
      <c r="B30" s="1" t="s">
        <v>75</v>
      </c>
      <c r="C30" s="1" t="s">
        <v>76</v>
      </c>
    </row>
    <row r="31" spans="1:3" x14ac:dyDescent="0.25">
      <c r="A31" s="1" t="s">
        <v>77</v>
      </c>
      <c r="B31" s="1" t="s">
        <v>23</v>
      </c>
      <c r="C31" s="1" t="s">
        <v>78</v>
      </c>
    </row>
    <row r="32" spans="1:3" x14ac:dyDescent="0.25">
      <c r="A32" s="1" t="s">
        <v>79</v>
      </c>
      <c r="B32" s="1" t="s">
        <v>34</v>
      </c>
      <c r="C32" s="1" t="s">
        <v>43</v>
      </c>
    </row>
    <row r="33" spans="1:3" x14ac:dyDescent="0.25">
      <c r="A33" s="1" t="s">
        <v>80</v>
      </c>
      <c r="B33" s="1" t="s">
        <v>81</v>
      </c>
      <c r="C33" s="1" t="s">
        <v>29</v>
      </c>
    </row>
    <row r="34" spans="1:3" x14ac:dyDescent="0.25">
      <c r="A34" s="1" t="s">
        <v>82</v>
      </c>
      <c r="B34" s="1" t="s">
        <v>34</v>
      </c>
      <c r="C34" s="1" t="s">
        <v>83</v>
      </c>
    </row>
    <row r="35" spans="1:3" x14ac:dyDescent="0.25">
      <c r="A35" s="1" t="s">
        <v>84</v>
      </c>
      <c r="B35" s="1" t="s">
        <v>85</v>
      </c>
      <c r="C35" s="1" t="s">
        <v>86</v>
      </c>
    </row>
    <row r="36" spans="1:3" x14ac:dyDescent="0.25">
      <c r="A36" s="1" t="s">
        <v>87</v>
      </c>
      <c r="B36" s="1" t="s">
        <v>23</v>
      </c>
      <c r="C36" s="1" t="s">
        <v>88</v>
      </c>
    </row>
    <row r="37" spans="1:3" x14ac:dyDescent="0.25">
      <c r="A37" s="1" t="s">
        <v>89</v>
      </c>
      <c r="B37" s="1" t="s">
        <v>14</v>
      </c>
      <c r="C37" s="1" t="s">
        <v>90</v>
      </c>
    </row>
    <row r="38" spans="1:3" x14ac:dyDescent="0.25">
      <c r="A38" s="1" t="s">
        <v>91</v>
      </c>
      <c r="B38" s="1" t="s">
        <v>34</v>
      </c>
      <c r="C38" s="1" t="s">
        <v>92</v>
      </c>
    </row>
    <row r="39" spans="1:3" x14ac:dyDescent="0.25">
      <c r="A39" s="1" t="s">
        <v>93</v>
      </c>
      <c r="B39" s="1" t="s">
        <v>14</v>
      </c>
      <c r="C39" s="1" t="s">
        <v>94</v>
      </c>
    </row>
    <row r="40" spans="1:3" x14ac:dyDescent="0.25">
      <c r="A40" s="1" t="s">
        <v>95</v>
      </c>
      <c r="B40" s="1" t="s">
        <v>8</v>
      </c>
      <c r="C40" s="1" t="s">
        <v>96</v>
      </c>
    </row>
    <row r="41" spans="1:3" x14ac:dyDescent="0.25">
      <c r="A41" s="1" t="s">
        <v>97</v>
      </c>
      <c r="B41" s="1" t="s">
        <v>98</v>
      </c>
      <c r="C41" s="1" t="s">
        <v>99</v>
      </c>
    </row>
    <row r="42" spans="1:3" x14ac:dyDescent="0.25">
      <c r="A42" s="1" t="s">
        <v>100</v>
      </c>
      <c r="B42" s="1" t="s">
        <v>23</v>
      </c>
      <c r="C42" s="1" t="s">
        <v>101</v>
      </c>
    </row>
    <row r="43" spans="1:3" x14ac:dyDescent="0.25">
      <c r="A43" s="1" t="s">
        <v>102</v>
      </c>
      <c r="B43" s="1" t="s">
        <v>103</v>
      </c>
      <c r="C43" s="1" t="s">
        <v>104</v>
      </c>
    </row>
    <row r="44" spans="1:3" x14ac:dyDescent="0.25">
      <c r="A44" s="1" t="s">
        <v>105</v>
      </c>
      <c r="B44" s="1" t="s">
        <v>81</v>
      </c>
      <c r="C44" s="1" t="s">
        <v>106</v>
      </c>
    </row>
    <row r="45" spans="1:3" x14ac:dyDescent="0.25">
      <c r="A45" s="1" t="s">
        <v>107</v>
      </c>
      <c r="B45" s="1" t="s">
        <v>8</v>
      </c>
      <c r="C45" s="1" t="s">
        <v>9</v>
      </c>
    </row>
    <row r="46" spans="1:3" x14ac:dyDescent="0.25">
      <c r="A46" s="1" t="s">
        <v>108</v>
      </c>
      <c r="B46" s="1" t="s">
        <v>109</v>
      </c>
      <c r="C46" s="1" t="s">
        <v>110</v>
      </c>
    </row>
    <row r="47" spans="1:3" x14ac:dyDescent="0.25">
      <c r="A47" s="1" t="s">
        <v>111</v>
      </c>
      <c r="B47" s="1" t="s">
        <v>34</v>
      </c>
      <c r="C47" s="1" t="s">
        <v>112</v>
      </c>
    </row>
    <row r="48" spans="1:3" x14ac:dyDescent="0.25">
      <c r="A48" s="1" t="s">
        <v>113</v>
      </c>
      <c r="B48" s="1" t="s">
        <v>114</v>
      </c>
      <c r="C48" s="1" t="s">
        <v>115</v>
      </c>
    </row>
    <row r="49" spans="1:3" x14ac:dyDescent="0.25">
      <c r="A49" s="1" t="s">
        <v>116</v>
      </c>
      <c r="B49" s="1" t="s">
        <v>117</v>
      </c>
      <c r="C49" s="1" t="s">
        <v>21</v>
      </c>
    </row>
    <row r="50" spans="1:3" x14ac:dyDescent="0.25">
      <c r="A50" s="1" t="s">
        <v>118</v>
      </c>
      <c r="B50" s="1" t="s">
        <v>119</v>
      </c>
      <c r="C50" s="1" t="s">
        <v>120</v>
      </c>
    </row>
    <row r="51" spans="1:3" x14ac:dyDescent="0.25">
      <c r="A51" s="1" t="s">
        <v>121</v>
      </c>
      <c r="B51" s="1" t="s">
        <v>122</v>
      </c>
      <c r="C51" s="1" t="s">
        <v>123</v>
      </c>
    </row>
    <row r="52" spans="1:3" x14ac:dyDescent="0.25">
      <c r="A52" s="1" t="s">
        <v>124</v>
      </c>
      <c r="B52" s="1" t="s">
        <v>34</v>
      </c>
      <c r="C52" s="1" t="s">
        <v>125</v>
      </c>
    </row>
    <row r="53" spans="1:3" x14ac:dyDescent="0.25">
      <c r="A53" s="1" t="s">
        <v>126</v>
      </c>
      <c r="B53" s="1" t="s">
        <v>8</v>
      </c>
      <c r="C53" s="1" t="s">
        <v>127</v>
      </c>
    </row>
    <row r="54" spans="1:3" x14ac:dyDescent="0.25">
      <c r="A54" s="1" t="s">
        <v>128</v>
      </c>
      <c r="B54" s="1" t="s">
        <v>129</v>
      </c>
      <c r="C54" s="1" t="s">
        <v>130</v>
      </c>
    </row>
    <row r="55" spans="1:3" x14ac:dyDescent="0.25">
      <c r="A55" s="1" t="s">
        <v>131</v>
      </c>
      <c r="B55" s="1" t="s">
        <v>129</v>
      </c>
      <c r="C55" s="1" t="s">
        <v>132</v>
      </c>
    </row>
    <row r="56" spans="1:3" x14ac:dyDescent="0.25">
      <c r="A56" s="1" t="s">
        <v>133</v>
      </c>
      <c r="B56" s="1" t="s">
        <v>134</v>
      </c>
      <c r="C56" s="1" t="s">
        <v>135</v>
      </c>
    </row>
    <row r="57" spans="1:3" x14ac:dyDescent="0.25">
      <c r="A57" s="1" t="s">
        <v>136</v>
      </c>
      <c r="B57" s="1" t="s">
        <v>28</v>
      </c>
      <c r="C57" s="1" t="s">
        <v>137</v>
      </c>
    </row>
    <row r="58" spans="1:3" x14ac:dyDescent="0.25">
      <c r="A58" s="1" t="s">
        <v>138</v>
      </c>
      <c r="B58" s="1" t="s">
        <v>139</v>
      </c>
      <c r="C58" s="1" t="s">
        <v>140</v>
      </c>
    </row>
    <row r="59" spans="1:3" x14ac:dyDescent="0.25">
      <c r="A59" s="1" t="s">
        <v>141</v>
      </c>
      <c r="B59" s="1" t="s">
        <v>38</v>
      </c>
      <c r="C59" s="1" t="s">
        <v>142</v>
      </c>
    </row>
    <row r="60" spans="1:3" x14ac:dyDescent="0.25">
      <c r="A60" s="1" t="s">
        <v>143</v>
      </c>
      <c r="B60" s="1" t="s">
        <v>144</v>
      </c>
      <c r="C60" s="1" t="s">
        <v>104</v>
      </c>
    </row>
    <row r="61" spans="1:3" x14ac:dyDescent="0.25">
      <c r="A61" s="1" t="s">
        <v>145</v>
      </c>
      <c r="B61" s="1" t="s">
        <v>53</v>
      </c>
      <c r="C61" s="1" t="s">
        <v>146</v>
      </c>
    </row>
    <row r="62" spans="1:3" x14ac:dyDescent="0.25">
      <c r="A62" s="1" t="s">
        <v>147</v>
      </c>
      <c r="B62" s="1" t="s">
        <v>148</v>
      </c>
      <c r="C62" s="1" t="s">
        <v>149</v>
      </c>
    </row>
    <row r="63" spans="1:3" x14ac:dyDescent="0.25">
      <c r="A63" s="1" t="s">
        <v>150</v>
      </c>
      <c r="B63" s="1" t="s">
        <v>151</v>
      </c>
      <c r="C63" s="1" t="s">
        <v>152</v>
      </c>
    </row>
    <row r="64" spans="1:3" x14ac:dyDescent="0.25">
      <c r="A64" s="1" t="s">
        <v>153</v>
      </c>
      <c r="B64" s="1" t="s">
        <v>31</v>
      </c>
      <c r="C64" s="1" t="s">
        <v>154</v>
      </c>
    </row>
    <row r="65" spans="1:3" x14ac:dyDescent="0.25">
      <c r="A65" s="1" t="s">
        <v>155</v>
      </c>
      <c r="B65" s="1" t="s">
        <v>34</v>
      </c>
      <c r="C65" s="1" t="s">
        <v>156</v>
      </c>
    </row>
    <row r="66" spans="1:3" x14ac:dyDescent="0.25">
      <c r="A66" s="1" t="s">
        <v>157</v>
      </c>
      <c r="B66" s="1" t="s">
        <v>23</v>
      </c>
      <c r="C66" s="1" t="s">
        <v>158</v>
      </c>
    </row>
    <row r="67" spans="1:3" x14ac:dyDescent="0.25">
      <c r="A67" s="1" t="s">
        <v>159</v>
      </c>
      <c r="B67" s="1" t="s">
        <v>14</v>
      </c>
      <c r="C67" s="1" t="s">
        <v>160</v>
      </c>
    </row>
    <row r="68" spans="1:3" x14ac:dyDescent="0.25">
      <c r="A68" s="1" t="s">
        <v>161</v>
      </c>
      <c r="B68" s="1" t="s">
        <v>23</v>
      </c>
      <c r="C68" s="1" t="s">
        <v>162</v>
      </c>
    </row>
    <row r="69" spans="1:3" x14ac:dyDescent="0.25">
      <c r="A69" s="1" t="s">
        <v>163</v>
      </c>
      <c r="B69" s="1" t="s">
        <v>53</v>
      </c>
      <c r="C69" s="1" t="s">
        <v>164</v>
      </c>
    </row>
    <row r="70" spans="1:3" x14ac:dyDescent="0.25">
      <c r="A70" s="1" t="s">
        <v>165</v>
      </c>
      <c r="B70" s="1" t="s">
        <v>166</v>
      </c>
      <c r="C70" s="1" t="s">
        <v>127</v>
      </c>
    </row>
    <row r="71" spans="1:3" x14ac:dyDescent="0.25">
      <c r="A71" s="1" t="s">
        <v>167</v>
      </c>
      <c r="B71" s="1" t="s">
        <v>8</v>
      </c>
      <c r="C71" s="1" t="s">
        <v>168</v>
      </c>
    </row>
    <row r="72" spans="1:3" x14ac:dyDescent="0.25">
      <c r="A72" s="1" t="s">
        <v>169</v>
      </c>
      <c r="B72" s="1" t="s">
        <v>170</v>
      </c>
      <c r="C72" s="1" t="s">
        <v>171</v>
      </c>
    </row>
    <row r="73" spans="1:3" x14ac:dyDescent="0.25">
      <c r="A73" s="1" t="s">
        <v>172</v>
      </c>
      <c r="B73" s="1" t="s">
        <v>85</v>
      </c>
      <c r="C73" s="1" t="s">
        <v>173</v>
      </c>
    </row>
    <row r="74" spans="1:3" x14ac:dyDescent="0.25">
      <c r="A74" s="1" t="s">
        <v>174</v>
      </c>
      <c r="B74" s="1" t="s">
        <v>175</v>
      </c>
      <c r="C74" s="1" t="s">
        <v>176</v>
      </c>
    </row>
    <row r="75" spans="1:3" x14ac:dyDescent="0.25">
      <c r="A75" s="1" t="s">
        <v>177</v>
      </c>
      <c r="B75" s="1" t="s">
        <v>103</v>
      </c>
      <c r="C75" s="1" t="s">
        <v>104</v>
      </c>
    </row>
    <row r="76" spans="1:3" x14ac:dyDescent="0.25">
      <c r="A76" s="1" t="s">
        <v>178</v>
      </c>
      <c r="B76" s="1" t="s">
        <v>148</v>
      </c>
      <c r="C76" s="1" t="s">
        <v>179</v>
      </c>
    </row>
    <row r="77" spans="1:3" x14ac:dyDescent="0.25">
      <c r="A77" s="1" t="s">
        <v>180</v>
      </c>
      <c r="B77" s="1" t="s">
        <v>31</v>
      </c>
      <c r="C77" s="1" t="s">
        <v>154</v>
      </c>
    </row>
    <row r="78" spans="1:3" x14ac:dyDescent="0.25">
      <c r="A78" s="1" t="s">
        <v>181</v>
      </c>
      <c r="B78" s="1" t="s">
        <v>182</v>
      </c>
      <c r="C78" s="1" t="s">
        <v>183</v>
      </c>
    </row>
    <row r="79" spans="1:3" x14ac:dyDescent="0.25">
      <c r="A79" s="1" t="s">
        <v>184</v>
      </c>
      <c r="B79" s="1" t="s">
        <v>185</v>
      </c>
      <c r="C79" s="1" t="s">
        <v>186</v>
      </c>
    </row>
    <row r="80" spans="1:3" x14ac:dyDescent="0.25">
      <c r="A80" s="1" t="s">
        <v>187</v>
      </c>
      <c r="B80" s="1" t="s">
        <v>28</v>
      </c>
      <c r="C80" s="1" t="s">
        <v>188</v>
      </c>
    </row>
    <row r="81" spans="1:3" x14ac:dyDescent="0.25">
      <c r="A81" s="1" t="s">
        <v>189</v>
      </c>
      <c r="B81" s="1" t="s">
        <v>34</v>
      </c>
      <c r="C81" s="1" t="s">
        <v>190</v>
      </c>
    </row>
    <row r="82" spans="1:3" x14ac:dyDescent="0.25">
      <c r="A82" s="1" t="s">
        <v>191</v>
      </c>
      <c r="B82" s="1" t="s">
        <v>23</v>
      </c>
      <c r="C82" s="1" t="s">
        <v>192</v>
      </c>
    </row>
    <row r="83" spans="1:3" x14ac:dyDescent="0.25">
      <c r="A83" s="1" t="s">
        <v>193</v>
      </c>
      <c r="B83" s="1" t="s">
        <v>34</v>
      </c>
      <c r="C83" s="1" t="s">
        <v>194</v>
      </c>
    </row>
    <row r="84" spans="1:3" x14ac:dyDescent="0.25">
      <c r="A84" s="1" t="s">
        <v>195</v>
      </c>
      <c r="B84" s="1" t="s">
        <v>31</v>
      </c>
      <c r="C84" s="1" t="s">
        <v>154</v>
      </c>
    </row>
    <row r="85" spans="1:3" x14ac:dyDescent="0.25">
      <c r="A85" s="1" t="s">
        <v>196</v>
      </c>
      <c r="B85" s="1" t="s">
        <v>68</v>
      </c>
      <c r="C85" s="1" t="s">
        <v>21</v>
      </c>
    </row>
    <row r="86" spans="1:3" x14ac:dyDescent="0.25">
      <c r="A86" s="1" t="s">
        <v>197</v>
      </c>
      <c r="B86" s="1" t="s">
        <v>8</v>
      </c>
      <c r="C86" s="1" t="s">
        <v>198</v>
      </c>
    </row>
    <row r="87" spans="1:3" x14ac:dyDescent="0.25">
      <c r="A87" s="1" t="s">
        <v>199</v>
      </c>
      <c r="B87" s="1" t="s">
        <v>68</v>
      </c>
      <c r="C87" s="1" t="s">
        <v>21</v>
      </c>
    </row>
    <row r="88" spans="1:3" x14ac:dyDescent="0.25">
      <c r="A88" s="1" t="s">
        <v>200</v>
      </c>
      <c r="B88" s="1" t="s">
        <v>8</v>
      </c>
      <c r="C88" s="1" t="s">
        <v>201</v>
      </c>
    </row>
    <row r="89" spans="1:3" x14ac:dyDescent="0.25">
      <c r="A89" s="1" t="s">
        <v>202</v>
      </c>
      <c r="B89" s="1" t="s">
        <v>203</v>
      </c>
      <c r="C89" s="1" t="s">
        <v>137</v>
      </c>
    </row>
    <row r="90" spans="1:3" x14ac:dyDescent="0.25">
      <c r="A90" s="1" t="s">
        <v>204</v>
      </c>
      <c r="B90" s="1" t="s">
        <v>38</v>
      </c>
      <c r="C90" s="1" t="s">
        <v>90</v>
      </c>
    </row>
    <row r="91" spans="1:3" x14ac:dyDescent="0.25">
      <c r="A91" s="1" t="s">
        <v>205</v>
      </c>
      <c r="B91" s="1" t="s">
        <v>34</v>
      </c>
      <c r="C91" s="1" t="s">
        <v>206</v>
      </c>
    </row>
    <row r="92" spans="1:3" x14ac:dyDescent="0.25">
      <c r="A92" s="1" t="s">
        <v>207</v>
      </c>
      <c r="B92" s="1" t="s">
        <v>23</v>
      </c>
      <c r="C92" s="1" t="s">
        <v>208</v>
      </c>
    </row>
    <row r="93" spans="1:3" x14ac:dyDescent="0.25">
      <c r="A93" s="1" t="s">
        <v>209</v>
      </c>
      <c r="B93" s="1" t="s">
        <v>103</v>
      </c>
      <c r="C93" s="1" t="s">
        <v>210</v>
      </c>
    </row>
    <row r="94" spans="1:3" x14ac:dyDescent="0.25">
      <c r="A94" s="1" t="s">
        <v>211</v>
      </c>
      <c r="B94" s="1" t="s">
        <v>212</v>
      </c>
      <c r="C94" s="1" t="s">
        <v>213</v>
      </c>
    </row>
    <row r="95" spans="1:3" x14ac:dyDescent="0.25">
      <c r="A95" s="1" t="s">
        <v>214</v>
      </c>
      <c r="B95" s="1" t="s">
        <v>215</v>
      </c>
      <c r="C95" s="1" t="s">
        <v>216</v>
      </c>
    </row>
    <row r="96" spans="1:3" x14ac:dyDescent="0.25">
      <c r="A96" s="1" t="s">
        <v>217</v>
      </c>
      <c r="B96" s="1" t="s">
        <v>175</v>
      </c>
      <c r="C96" s="1" t="s">
        <v>176</v>
      </c>
    </row>
    <row r="97" spans="1:3" x14ac:dyDescent="0.25">
      <c r="A97" s="1" t="s">
        <v>218</v>
      </c>
      <c r="B97" s="1" t="s">
        <v>23</v>
      </c>
      <c r="C97" s="1" t="s">
        <v>219</v>
      </c>
    </row>
    <row r="98" spans="1:3" x14ac:dyDescent="0.25">
      <c r="A98" s="1" t="s">
        <v>220</v>
      </c>
      <c r="B98" s="1" t="s">
        <v>221</v>
      </c>
      <c r="C98" s="1" t="s">
        <v>222</v>
      </c>
    </row>
    <row r="99" spans="1:3" x14ac:dyDescent="0.25">
      <c r="A99" s="1" t="s">
        <v>220</v>
      </c>
      <c r="B99" s="1" t="s">
        <v>223</v>
      </c>
      <c r="C99" s="1" t="s">
        <v>140</v>
      </c>
    </row>
    <row r="100" spans="1:3" x14ac:dyDescent="0.25">
      <c r="A100" s="1" t="s">
        <v>224</v>
      </c>
      <c r="B100" s="1" t="s">
        <v>38</v>
      </c>
      <c r="C100" s="1" t="s">
        <v>225</v>
      </c>
    </row>
    <row r="101" spans="1:3" x14ac:dyDescent="0.25">
      <c r="A101" s="1" t="s">
        <v>226</v>
      </c>
      <c r="B101" s="1" t="s">
        <v>8</v>
      </c>
      <c r="C101" s="1" t="s">
        <v>227</v>
      </c>
    </row>
    <row r="102" spans="1:3" x14ac:dyDescent="0.25">
      <c r="A102" s="1" t="s">
        <v>228</v>
      </c>
      <c r="B102" s="1" t="s">
        <v>185</v>
      </c>
      <c r="C102" s="1" t="s">
        <v>186</v>
      </c>
    </row>
    <row r="103" spans="1:3" x14ac:dyDescent="0.25">
      <c r="A103" s="1" t="s">
        <v>229</v>
      </c>
      <c r="B103" s="1" t="s">
        <v>53</v>
      </c>
      <c r="C103" s="1" t="s">
        <v>230</v>
      </c>
    </row>
    <row r="104" spans="1:3" x14ac:dyDescent="0.25">
      <c r="A104" s="1" t="s">
        <v>231</v>
      </c>
      <c r="B104" s="1" t="s">
        <v>17</v>
      </c>
      <c r="C104" s="1" t="s">
        <v>176</v>
      </c>
    </row>
    <row r="105" spans="1:3" x14ac:dyDescent="0.25">
      <c r="A105" s="1" t="s">
        <v>232</v>
      </c>
      <c r="B105" s="1" t="s">
        <v>233</v>
      </c>
      <c r="C105" s="1" t="s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C105"/>
  <sheetViews>
    <sheetView workbookViewId="0">
      <selection sqref="A1:C1048576"/>
    </sheetView>
  </sheetViews>
  <sheetFormatPr defaultRowHeight="15" x14ac:dyDescent="0.25"/>
  <cols>
    <col min="1" max="1" width="35.7109375" style="1" bestFit="1" customWidth="1"/>
    <col min="2" max="2" width="10.85546875" style="1" bestFit="1" customWidth="1"/>
    <col min="3" max="3" width="19" style="1" bestFit="1" customWidth="1"/>
    <col min="4" max="16384" width="9.140625" style="1"/>
  </cols>
  <sheetData>
    <row r="1" spans="1:3" x14ac:dyDescent="0.25">
      <c r="A1" s="5" t="s">
        <v>4</v>
      </c>
      <c r="B1" s="5" t="s">
        <v>5</v>
      </c>
      <c r="C1" s="5" t="s">
        <v>6</v>
      </c>
    </row>
    <row r="2" spans="1:3" x14ac:dyDescent="0.25">
      <c r="A2" s="5" t="s">
        <v>7</v>
      </c>
      <c r="B2" s="5" t="s">
        <v>8</v>
      </c>
      <c r="C2" s="5" t="s">
        <v>9</v>
      </c>
    </row>
    <row r="3" spans="1:3" x14ac:dyDescent="0.25">
      <c r="A3" s="5" t="s">
        <v>10</v>
      </c>
      <c r="B3" s="5" t="s">
        <v>11</v>
      </c>
      <c r="C3" s="5" t="s">
        <v>12</v>
      </c>
    </row>
    <row r="4" spans="1:3" x14ac:dyDescent="0.25">
      <c r="A4" s="5" t="s">
        <v>13</v>
      </c>
      <c r="B4" s="5" t="s">
        <v>14</v>
      </c>
      <c r="C4" s="5" t="s">
        <v>15</v>
      </c>
    </row>
    <row r="5" spans="1:3" x14ac:dyDescent="0.25">
      <c r="A5" s="5" t="s">
        <v>16</v>
      </c>
      <c r="B5" s="5" t="s">
        <v>17</v>
      </c>
      <c r="C5" s="5" t="s">
        <v>18</v>
      </c>
    </row>
    <row r="6" spans="1:3" x14ac:dyDescent="0.25">
      <c r="A6" s="5" t="s">
        <v>19</v>
      </c>
      <c r="B6" s="5" t="s">
        <v>20</v>
      </c>
      <c r="C6" s="5" t="s">
        <v>21</v>
      </c>
    </row>
    <row r="7" spans="1:3" x14ac:dyDescent="0.25">
      <c r="A7" s="5" t="s">
        <v>22</v>
      </c>
      <c r="B7" s="5" t="s">
        <v>23</v>
      </c>
      <c r="C7" s="5" t="s">
        <v>24</v>
      </c>
    </row>
    <row r="8" spans="1:3" x14ac:dyDescent="0.25">
      <c r="A8" s="5" t="s">
        <v>25</v>
      </c>
      <c r="B8" s="5" t="s">
        <v>23</v>
      </c>
      <c r="C8" s="5" t="s">
        <v>26</v>
      </c>
    </row>
    <row r="9" spans="1:3" x14ac:dyDescent="0.25">
      <c r="A9" s="5" t="s">
        <v>27</v>
      </c>
      <c r="B9" s="5" t="s">
        <v>28</v>
      </c>
      <c r="C9" s="5" t="s">
        <v>29</v>
      </c>
    </row>
    <row r="10" spans="1:3" x14ac:dyDescent="0.25">
      <c r="A10" s="5" t="s">
        <v>30</v>
      </c>
      <c r="B10" s="5" t="s">
        <v>31</v>
      </c>
      <c r="C10" s="5" t="s">
        <v>32</v>
      </c>
    </row>
    <row r="11" spans="1:3" x14ac:dyDescent="0.25">
      <c r="A11" s="5" t="s">
        <v>33</v>
      </c>
      <c r="B11" s="5" t="s">
        <v>34</v>
      </c>
      <c r="C11" s="5" t="s">
        <v>35</v>
      </c>
    </row>
    <row r="12" spans="1:3" x14ac:dyDescent="0.25">
      <c r="A12" s="5" t="s">
        <v>36</v>
      </c>
      <c r="B12" s="5" t="s">
        <v>235</v>
      </c>
      <c r="C12" s="5" t="s">
        <v>236</v>
      </c>
    </row>
    <row r="13" spans="1:3" x14ac:dyDescent="0.25">
      <c r="A13" s="5" t="s">
        <v>37</v>
      </c>
      <c r="B13" s="5" t="s">
        <v>38</v>
      </c>
      <c r="C13" s="5" t="s">
        <v>39</v>
      </c>
    </row>
    <row r="14" spans="1:3" x14ac:dyDescent="0.25">
      <c r="A14" s="5" t="s">
        <v>40</v>
      </c>
      <c r="B14" s="5" t="s">
        <v>41</v>
      </c>
      <c r="C14" s="5" t="s">
        <v>21</v>
      </c>
    </row>
    <row r="15" spans="1:3" x14ac:dyDescent="0.25">
      <c r="A15" s="5" t="s">
        <v>42</v>
      </c>
      <c r="B15" s="5" t="s">
        <v>34</v>
      </c>
      <c r="C15" s="5" t="s">
        <v>43</v>
      </c>
    </row>
    <row r="16" spans="1:3" x14ac:dyDescent="0.25">
      <c r="A16" s="5" t="s">
        <v>44</v>
      </c>
      <c r="B16" s="5" t="s">
        <v>45</v>
      </c>
      <c r="C16" s="5" t="s">
        <v>46</v>
      </c>
    </row>
    <row r="17" spans="1:3" x14ac:dyDescent="0.25">
      <c r="A17" s="5" t="s">
        <v>47</v>
      </c>
      <c r="B17" s="5" t="s">
        <v>48</v>
      </c>
      <c r="C17" s="5" t="s">
        <v>49</v>
      </c>
    </row>
    <row r="18" spans="1:3" x14ac:dyDescent="0.25">
      <c r="A18" s="5" t="s">
        <v>50</v>
      </c>
      <c r="B18" s="5" t="s">
        <v>23</v>
      </c>
      <c r="C18" s="5" t="s">
        <v>51</v>
      </c>
    </row>
    <row r="19" spans="1:3" x14ac:dyDescent="0.25">
      <c r="A19" s="5" t="s">
        <v>52</v>
      </c>
      <c r="B19" s="5" t="s">
        <v>53</v>
      </c>
      <c r="C19" s="5" t="s">
        <v>54</v>
      </c>
    </row>
    <row r="20" spans="1:3" x14ac:dyDescent="0.25">
      <c r="A20" s="5" t="s">
        <v>55</v>
      </c>
      <c r="B20" s="5" t="s">
        <v>34</v>
      </c>
      <c r="C20" s="5" t="s">
        <v>56</v>
      </c>
    </row>
    <row r="21" spans="1:3" x14ac:dyDescent="0.25">
      <c r="A21" s="5" t="s">
        <v>57</v>
      </c>
      <c r="B21" s="5" t="s">
        <v>8</v>
      </c>
      <c r="C21" s="5" t="s">
        <v>236</v>
      </c>
    </row>
    <row r="22" spans="1:3" x14ac:dyDescent="0.25">
      <c r="A22" s="5" t="s">
        <v>58</v>
      </c>
      <c r="B22" s="5" t="s">
        <v>59</v>
      </c>
      <c r="C22" s="5" t="s">
        <v>60</v>
      </c>
    </row>
    <row r="23" spans="1:3" x14ac:dyDescent="0.25">
      <c r="A23" s="5" t="s">
        <v>58</v>
      </c>
      <c r="B23" s="5" t="s">
        <v>61</v>
      </c>
      <c r="C23" s="5" t="s">
        <v>60</v>
      </c>
    </row>
    <row r="24" spans="1:3" x14ac:dyDescent="0.25">
      <c r="A24" s="5" t="s">
        <v>58</v>
      </c>
      <c r="B24" s="5" t="s">
        <v>62</v>
      </c>
      <c r="C24" s="5" t="s">
        <v>63</v>
      </c>
    </row>
    <row r="25" spans="1:3" x14ac:dyDescent="0.25">
      <c r="A25" s="5" t="s">
        <v>64</v>
      </c>
      <c r="B25" s="5" t="s">
        <v>53</v>
      </c>
      <c r="C25" s="5" t="s">
        <v>65</v>
      </c>
    </row>
    <row r="26" spans="1:3" x14ac:dyDescent="0.25">
      <c r="A26" s="5" t="s">
        <v>66</v>
      </c>
      <c r="B26" s="5" t="s">
        <v>53</v>
      </c>
      <c r="C26" s="5" t="s">
        <v>65</v>
      </c>
    </row>
    <row r="27" spans="1:3" x14ac:dyDescent="0.25">
      <c r="A27" s="5" t="s">
        <v>67</v>
      </c>
      <c r="B27" s="5" t="s">
        <v>68</v>
      </c>
      <c r="C27" s="5" t="s">
        <v>21</v>
      </c>
    </row>
    <row r="28" spans="1:3" x14ac:dyDescent="0.25">
      <c r="A28" s="5" t="s">
        <v>69</v>
      </c>
      <c r="B28" s="5" t="s">
        <v>70</v>
      </c>
      <c r="C28" s="5" t="s">
        <v>71</v>
      </c>
    </row>
    <row r="29" spans="1:3" x14ac:dyDescent="0.25">
      <c r="A29" s="5" t="s">
        <v>72</v>
      </c>
      <c r="B29" s="5" t="s">
        <v>14</v>
      </c>
      <c r="C29" s="5" t="s">
        <v>73</v>
      </c>
    </row>
    <row r="30" spans="1:3" x14ac:dyDescent="0.25">
      <c r="A30" s="5" t="s">
        <v>74</v>
      </c>
      <c r="B30" s="5" t="s">
        <v>75</v>
      </c>
      <c r="C30" s="5" t="s">
        <v>76</v>
      </c>
    </row>
    <row r="31" spans="1:3" x14ac:dyDescent="0.25">
      <c r="A31" s="5" t="s">
        <v>77</v>
      </c>
      <c r="B31" s="5" t="s">
        <v>23</v>
      </c>
      <c r="C31" s="5" t="s">
        <v>78</v>
      </c>
    </row>
    <row r="32" spans="1:3" x14ac:dyDescent="0.25">
      <c r="A32" s="5" t="s">
        <v>79</v>
      </c>
      <c r="B32" s="5" t="s">
        <v>34</v>
      </c>
      <c r="C32" s="5" t="s">
        <v>43</v>
      </c>
    </row>
    <row r="33" spans="1:3" x14ac:dyDescent="0.25">
      <c r="A33" s="5" t="s">
        <v>80</v>
      </c>
      <c r="B33" s="5" t="s">
        <v>81</v>
      </c>
      <c r="C33" s="5" t="s">
        <v>29</v>
      </c>
    </row>
    <row r="34" spans="1:3" x14ac:dyDescent="0.25">
      <c r="A34" s="5" t="s">
        <v>82</v>
      </c>
      <c r="B34" s="5" t="s">
        <v>34</v>
      </c>
      <c r="C34" s="5" t="s">
        <v>83</v>
      </c>
    </row>
    <row r="35" spans="1:3" x14ac:dyDescent="0.25">
      <c r="A35" s="5" t="s">
        <v>84</v>
      </c>
      <c r="B35" s="5" t="s">
        <v>85</v>
      </c>
      <c r="C35" s="5" t="s">
        <v>86</v>
      </c>
    </row>
    <row r="36" spans="1:3" x14ac:dyDescent="0.25">
      <c r="A36" s="5" t="s">
        <v>87</v>
      </c>
      <c r="B36" s="5" t="s">
        <v>23</v>
      </c>
      <c r="C36" s="5" t="s">
        <v>88</v>
      </c>
    </row>
    <row r="37" spans="1:3" x14ac:dyDescent="0.25">
      <c r="A37" s="5" t="s">
        <v>89</v>
      </c>
      <c r="B37" s="5" t="s">
        <v>14</v>
      </c>
      <c r="C37" s="5" t="s">
        <v>90</v>
      </c>
    </row>
    <row r="38" spans="1:3" x14ac:dyDescent="0.25">
      <c r="A38" s="5" t="s">
        <v>91</v>
      </c>
      <c r="B38" s="5" t="s">
        <v>34</v>
      </c>
      <c r="C38" s="5" t="s">
        <v>92</v>
      </c>
    </row>
    <row r="39" spans="1:3" x14ac:dyDescent="0.25">
      <c r="A39" s="5" t="s">
        <v>93</v>
      </c>
      <c r="B39" s="5" t="s">
        <v>14</v>
      </c>
      <c r="C39" s="5" t="s">
        <v>94</v>
      </c>
    </row>
    <row r="40" spans="1:3" x14ac:dyDescent="0.25">
      <c r="A40" s="5" t="s">
        <v>95</v>
      </c>
      <c r="B40" s="5" t="s">
        <v>8</v>
      </c>
      <c r="C40" s="5" t="s">
        <v>96</v>
      </c>
    </row>
    <row r="41" spans="1:3" x14ac:dyDescent="0.25">
      <c r="A41" s="5" t="s">
        <v>97</v>
      </c>
      <c r="B41" s="5" t="s">
        <v>98</v>
      </c>
      <c r="C41" s="5" t="s">
        <v>99</v>
      </c>
    </row>
    <row r="42" spans="1:3" x14ac:dyDescent="0.25">
      <c r="A42" s="5" t="s">
        <v>100</v>
      </c>
      <c r="B42" s="5" t="s">
        <v>23</v>
      </c>
      <c r="C42" s="5" t="s">
        <v>101</v>
      </c>
    </row>
    <row r="43" spans="1:3" x14ac:dyDescent="0.25">
      <c r="A43" s="5" t="s">
        <v>102</v>
      </c>
      <c r="B43" s="5" t="s">
        <v>103</v>
      </c>
      <c r="C43" s="5" t="s">
        <v>104</v>
      </c>
    </row>
    <row r="44" spans="1:3" x14ac:dyDescent="0.25">
      <c r="A44" s="5" t="s">
        <v>105</v>
      </c>
      <c r="B44" s="5" t="s">
        <v>81</v>
      </c>
      <c r="C44" s="5" t="s">
        <v>106</v>
      </c>
    </row>
    <row r="45" spans="1:3" x14ac:dyDescent="0.25">
      <c r="A45" s="5" t="s">
        <v>107</v>
      </c>
      <c r="B45" s="5" t="s">
        <v>8</v>
      </c>
      <c r="C45" s="5" t="s">
        <v>9</v>
      </c>
    </row>
    <row r="46" spans="1:3" x14ac:dyDescent="0.25">
      <c r="A46" s="5" t="s">
        <v>108</v>
      </c>
      <c r="B46" s="5" t="s">
        <v>109</v>
      </c>
      <c r="C46" s="5" t="s">
        <v>110</v>
      </c>
    </row>
    <row r="47" spans="1:3" x14ac:dyDescent="0.25">
      <c r="A47" s="5" t="s">
        <v>111</v>
      </c>
      <c r="B47" s="5" t="s">
        <v>34</v>
      </c>
      <c r="C47" s="5" t="s">
        <v>112</v>
      </c>
    </row>
    <row r="48" spans="1:3" x14ac:dyDescent="0.25">
      <c r="A48" s="5" t="s">
        <v>113</v>
      </c>
      <c r="B48" s="5" t="s">
        <v>114</v>
      </c>
      <c r="C48" s="5" t="s">
        <v>115</v>
      </c>
    </row>
    <row r="49" spans="1:3" x14ac:dyDescent="0.25">
      <c r="A49" s="5" t="s">
        <v>116</v>
      </c>
      <c r="B49" s="5" t="s">
        <v>117</v>
      </c>
      <c r="C49" s="5" t="s">
        <v>21</v>
      </c>
    </row>
    <row r="50" spans="1:3" x14ac:dyDescent="0.25">
      <c r="A50" s="5" t="s">
        <v>118</v>
      </c>
      <c r="B50" s="5" t="s">
        <v>119</v>
      </c>
      <c r="C50" s="5" t="s">
        <v>120</v>
      </c>
    </row>
    <row r="51" spans="1:3" x14ac:dyDescent="0.25">
      <c r="A51" s="5" t="s">
        <v>121</v>
      </c>
      <c r="B51" s="5" t="s">
        <v>122</v>
      </c>
      <c r="C51" s="5" t="s">
        <v>123</v>
      </c>
    </row>
    <row r="52" spans="1:3" x14ac:dyDescent="0.25">
      <c r="A52" s="5" t="s">
        <v>124</v>
      </c>
      <c r="B52" s="5" t="s">
        <v>34</v>
      </c>
      <c r="C52" s="5" t="s">
        <v>125</v>
      </c>
    </row>
    <row r="53" spans="1:3" x14ac:dyDescent="0.25">
      <c r="A53" s="5" t="s">
        <v>126</v>
      </c>
      <c r="B53" s="5" t="s">
        <v>8</v>
      </c>
      <c r="C53" s="5" t="s">
        <v>127</v>
      </c>
    </row>
    <row r="54" spans="1:3" x14ac:dyDescent="0.25">
      <c r="A54" s="5" t="s">
        <v>128</v>
      </c>
      <c r="B54" s="5" t="s">
        <v>129</v>
      </c>
      <c r="C54" s="5" t="s">
        <v>130</v>
      </c>
    </row>
    <row r="55" spans="1:3" x14ac:dyDescent="0.25">
      <c r="A55" s="5" t="s">
        <v>131</v>
      </c>
      <c r="B55" s="5" t="s">
        <v>129</v>
      </c>
      <c r="C55" s="5" t="s">
        <v>132</v>
      </c>
    </row>
    <row r="56" spans="1:3" x14ac:dyDescent="0.25">
      <c r="A56" s="5" t="s">
        <v>133</v>
      </c>
      <c r="B56" s="5" t="s">
        <v>134</v>
      </c>
      <c r="C56" s="5" t="s">
        <v>135</v>
      </c>
    </row>
    <row r="57" spans="1:3" x14ac:dyDescent="0.25">
      <c r="A57" s="5" t="s">
        <v>136</v>
      </c>
      <c r="B57" s="5" t="s">
        <v>28</v>
      </c>
      <c r="C57" s="5" t="s">
        <v>137</v>
      </c>
    </row>
    <row r="58" spans="1:3" x14ac:dyDescent="0.25">
      <c r="A58" s="5" t="s">
        <v>138</v>
      </c>
      <c r="B58" s="5" t="s">
        <v>139</v>
      </c>
      <c r="C58" s="5" t="s">
        <v>140</v>
      </c>
    </row>
    <row r="59" spans="1:3" x14ac:dyDescent="0.25">
      <c r="A59" s="5" t="s">
        <v>141</v>
      </c>
      <c r="B59" s="5" t="s">
        <v>38</v>
      </c>
      <c r="C59" s="5" t="s">
        <v>142</v>
      </c>
    </row>
    <row r="60" spans="1:3" x14ac:dyDescent="0.25">
      <c r="A60" s="5" t="s">
        <v>143</v>
      </c>
      <c r="B60" s="5" t="s">
        <v>144</v>
      </c>
      <c r="C60" s="5" t="s">
        <v>104</v>
      </c>
    </row>
    <row r="61" spans="1:3" x14ac:dyDescent="0.25">
      <c r="A61" s="5" t="s">
        <v>145</v>
      </c>
      <c r="B61" s="5" t="s">
        <v>53</v>
      </c>
      <c r="C61" s="5" t="s">
        <v>146</v>
      </c>
    </row>
    <row r="62" spans="1:3" x14ac:dyDescent="0.25">
      <c r="A62" s="5" t="s">
        <v>147</v>
      </c>
      <c r="B62" s="5" t="s">
        <v>148</v>
      </c>
      <c r="C62" s="5" t="s">
        <v>149</v>
      </c>
    </row>
    <row r="63" spans="1:3" x14ac:dyDescent="0.25">
      <c r="A63" s="5" t="s">
        <v>150</v>
      </c>
      <c r="B63" s="5" t="s">
        <v>151</v>
      </c>
      <c r="C63" s="5" t="s">
        <v>152</v>
      </c>
    </row>
    <row r="64" spans="1:3" x14ac:dyDescent="0.25">
      <c r="A64" s="5" t="s">
        <v>153</v>
      </c>
      <c r="B64" s="5" t="s">
        <v>31</v>
      </c>
      <c r="C64" s="5" t="s">
        <v>154</v>
      </c>
    </row>
    <row r="65" spans="1:3" x14ac:dyDescent="0.25">
      <c r="A65" s="5" t="s">
        <v>155</v>
      </c>
      <c r="B65" s="5" t="s">
        <v>34</v>
      </c>
      <c r="C65" s="5" t="s">
        <v>156</v>
      </c>
    </row>
    <row r="66" spans="1:3" x14ac:dyDescent="0.25">
      <c r="A66" s="5" t="s">
        <v>157</v>
      </c>
      <c r="B66" s="5" t="s">
        <v>23</v>
      </c>
      <c r="C66" s="5" t="s">
        <v>158</v>
      </c>
    </row>
    <row r="67" spans="1:3" x14ac:dyDescent="0.25">
      <c r="A67" s="5" t="s">
        <v>159</v>
      </c>
      <c r="B67" s="5" t="s">
        <v>14</v>
      </c>
      <c r="C67" s="5" t="s">
        <v>160</v>
      </c>
    </row>
    <row r="68" spans="1:3" x14ac:dyDescent="0.25">
      <c r="A68" s="5" t="s">
        <v>161</v>
      </c>
      <c r="B68" s="5" t="s">
        <v>23</v>
      </c>
      <c r="C68" s="5" t="s">
        <v>162</v>
      </c>
    </row>
    <row r="69" spans="1:3" x14ac:dyDescent="0.25">
      <c r="A69" s="5" t="s">
        <v>163</v>
      </c>
      <c r="B69" s="5" t="s">
        <v>53</v>
      </c>
      <c r="C69" s="5" t="s">
        <v>164</v>
      </c>
    </row>
    <row r="70" spans="1:3" x14ac:dyDescent="0.25">
      <c r="A70" s="5" t="s">
        <v>165</v>
      </c>
      <c r="B70" s="5" t="s">
        <v>166</v>
      </c>
      <c r="C70" s="5" t="s">
        <v>127</v>
      </c>
    </row>
    <row r="71" spans="1:3" x14ac:dyDescent="0.25">
      <c r="A71" s="5" t="s">
        <v>167</v>
      </c>
      <c r="B71" s="5" t="s">
        <v>8</v>
      </c>
      <c r="C71" s="5" t="s">
        <v>168</v>
      </c>
    </row>
    <row r="72" spans="1:3" x14ac:dyDescent="0.25">
      <c r="A72" s="5" t="s">
        <v>169</v>
      </c>
      <c r="B72" s="5" t="s">
        <v>170</v>
      </c>
      <c r="C72" s="5" t="s">
        <v>171</v>
      </c>
    </row>
    <row r="73" spans="1:3" x14ac:dyDescent="0.25">
      <c r="A73" s="5" t="s">
        <v>172</v>
      </c>
      <c r="B73" s="5" t="s">
        <v>85</v>
      </c>
      <c r="C73" s="5" t="s">
        <v>173</v>
      </c>
    </row>
    <row r="74" spans="1:3" x14ac:dyDescent="0.25">
      <c r="A74" s="5" t="s">
        <v>174</v>
      </c>
      <c r="B74" s="5" t="s">
        <v>175</v>
      </c>
      <c r="C74" s="5" t="s">
        <v>176</v>
      </c>
    </row>
    <row r="75" spans="1:3" x14ac:dyDescent="0.25">
      <c r="A75" s="5" t="s">
        <v>177</v>
      </c>
      <c r="B75" s="5" t="s">
        <v>103</v>
      </c>
      <c r="C75" s="5" t="s">
        <v>104</v>
      </c>
    </row>
    <row r="76" spans="1:3" x14ac:dyDescent="0.25">
      <c r="A76" s="5" t="s">
        <v>178</v>
      </c>
      <c r="B76" s="5" t="s">
        <v>148</v>
      </c>
      <c r="C76" s="5" t="s">
        <v>179</v>
      </c>
    </row>
    <row r="77" spans="1:3" x14ac:dyDescent="0.25">
      <c r="A77" s="5" t="s">
        <v>180</v>
      </c>
      <c r="B77" s="5" t="s">
        <v>31</v>
      </c>
      <c r="C77" s="5" t="s">
        <v>154</v>
      </c>
    </row>
    <row r="78" spans="1:3" x14ac:dyDescent="0.25">
      <c r="A78" s="5" t="s">
        <v>181</v>
      </c>
      <c r="B78" s="5" t="s">
        <v>182</v>
      </c>
      <c r="C78" s="5" t="s">
        <v>183</v>
      </c>
    </row>
    <row r="79" spans="1:3" x14ac:dyDescent="0.25">
      <c r="A79" s="5" t="s">
        <v>184</v>
      </c>
      <c r="B79" s="5" t="s">
        <v>185</v>
      </c>
      <c r="C79" s="5" t="s">
        <v>186</v>
      </c>
    </row>
    <row r="80" spans="1:3" x14ac:dyDescent="0.25">
      <c r="A80" s="5" t="s">
        <v>187</v>
      </c>
      <c r="B80" s="5" t="s">
        <v>28</v>
      </c>
      <c r="C80" s="5" t="s">
        <v>188</v>
      </c>
    </row>
    <row r="81" spans="1:3" x14ac:dyDescent="0.25">
      <c r="A81" s="5" t="s">
        <v>189</v>
      </c>
      <c r="B81" s="5" t="s">
        <v>34</v>
      </c>
      <c r="C81" s="5" t="s">
        <v>190</v>
      </c>
    </row>
    <row r="82" spans="1:3" x14ac:dyDescent="0.25">
      <c r="A82" s="5" t="s">
        <v>191</v>
      </c>
      <c r="B82" s="5" t="s">
        <v>23</v>
      </c>
      <c r="C82" s="5" t="s">
        <v>192</v>
      </c>
    </row>
    <row r="83" spans="1:3" x14ac:dyDescent="0.25">
      <c r="A83" s="5" t="s">
        <v>193</v>
      </c>
      <c r="B83" s="5" t="s">
        <v>34</v>
      </c>
      <c r="C83" s="5" t="s">
        <v>194</v>
      </c>
    </row>
    <row r="84" spans="1:3" x14ac:dyDescent="0.25">
      <c r="A84" s="5" t="s">
        <v>195</v>
      </c>
      <c r="B84" s="5" t="s">
        <v>31</v>
      </c>
      <c r="C84" s="5" t="s">
        <v>154</v>
      </c>
    </row>
    <row r="85" spans="1:3" x14ac:dyDescent="0.25">
      <c r="A85" s="5" t="s">
        <v>196</v>
      </c>
      <c r="B85" s="5" t="s">
        <v>68</v>
      </c>
      <c r="C85" s="5" t="s">
        <v>21</v>
      </c>
    </row>
    <row r="86" spans="1:3" x14ac:dyDescent="0.25">
      <c r="A86" s="5" t="s">
        <v>197</v>
      </c>
      <c r="B86" s="5" t="s">
        <v>8</v>
      </c>
      <c r="C86" s="5" t="s">
        <v>198</v>
      </c>
    </row>
    <row r="87" spans="1:3" x14ac:dyDescent="0.25">
      <c r="A87" s="5" t="s">
        <v>199</v>
      </c>
      <c r="B87" s="5" t="s">
        <v>68</v>
      </c>
      <c r="C87" s="5" t="s">
        <v>21</v>
      </c>
    </row>
    <row r="88" spans="1:3" x14ac:dyDescent="0.25">
      <c r="A88" s="5" t="s">
        <v>200</v>
      </c>
      <c r="B88" s="5" t="s">
        <v>8</v>
      </c>
      <c r="C88" s="5" t="s">
        <v>201</v>
      </c>
    </row>
    <row r="89" spans="1:3" x14ac:dyDescent="0.25">
      <c r="A89" s="5" t="s">
        <v>202</v>
      </c>
      <c r="B89" s="5" t="s">
        <v>203</v>
      </c>
      <c r="C89" s="5" t="s">
        <v>137</v>
      </c>
    </row>
    <row r="90" spans="1:3" x14ac:dyDescent="0.25">
      <c r="A90" s="5" t="s">
        <v>204</v>
      </c>
      <c r="B90" s="5" t="s">
        <v>38</v>
      </c>
      <c r="C90" s="5" t="s">
        <v>90</v>
      </c>
    </row>
    <row r="91" spans="1:3" x14ac:dyDescent="0.25">
      <c r="A91" s="5" t="s">
        <v>205</v>
      </c>
      <c r="B91" s="5" t="s">
        <v>34</v>
      </c>
      <c r="C91" s="5" t="s">
        <v>206</v>
      </c>
    </row>
    <row r="92" spans="1:3" x14ac:dyDescent="0.25">
      <c r="A92" s="5" t="s">
        <v>207</v>
      </c>
      <c r="B92" s="5" t="s">
        <v>23</v>
      </c>
      <c r="C92" s="5" t="s">
        <v>208</v>
      </c>
    </row>
    <row r="93" spans="1:3" x14ac:dyDescent="0.25">
      <c r="A93" s="5" t="s">
        <v>209</v>
      </c>
      <c r="B93" s="5" t="s">
        <v>103</v>
      </c>
      <c r="C93" s="5" t="s">
        <v>210</v>
      </c>
    </row>
    <row r="94" spans="1:3" x14ac:dyDescent="0.25">
      <c r="A94" s="5" t="s">
        <v>211</v>
      </c>
      <c r="B94" s="5" t="s">
        <v>212</v>
      </c>
      <c r="C94" s="5" t="s">
        <v>213</v>
      </c>
    </row>
    <row r="95" spans="1:3" x14ac:dyDescent="0.25">
      <c r="A95" s="5" t="s">
        <v>214</v>
      </c>
      <c r="B95" s="5" t="s">
        <v>215</v>
      </c>
      <c r="C95" s="5" t="s">
        <v>216</v>
      </c>
    </row>
    <row r="96" spans="1:3" x14ac:dyDescent="0.25">
      <c r="A96" s="5" t="s">
        <v>217</v>
      </c>
      <c r="B96" s="5" t="s">
        <v>175</v>
      </c>
      <c r="C96" s="5" t="s">
        <v>176</v>
      </c>
    </row>
    <row r="97" spans="1:3" x14ac:dyDescent="0.25">
      <c r="A97" s="5" t="s">
        <v>218</v>
      </c>
      <c r="B97" s="5" t="s">
        <v>23</v>
      </c>
      <c r="C97" s="5" t="s">
        <v>219</v>
      </c>
    </row>
    <row r="98" spans="1:3" x14ac:dyDescent="0.25">
      <c r="A98" s="5" t="s">
        <v>220</v>
      </c>
      <c r="B98" s="5" t="s">
        <v>221</v>
      </c>
      <c r="C98" s="5" t="s">
        <v>222</v>
      </c>
    </row>
    <row r="99" spans="1:3" x14ac:dyDescent="0.25">
      <c r="A99" s="5" t="s">
        <v>220</v>
      </c>
      <c r="B99" s="5" t="s">
        <v>223</v>
      </c>
      <c r="C99" s="5" t="s">
        <v>140</v>
      </c>
    </row>
    <row r="100" spans="1:3" x14ac:dyDescent="0.25">
      <c r="A100" s="5" t="s">
        <v>224</v>
      </c>
      <c r="B100" s="5" t="s">
        <v>38</v>
      </c>
      <c r="C100" s="5" t="s">
        <v>225</v>
      </c>
    </row>
    <row r="101" spans="1:3" x14ac:dyDescent="0.25">
      <c r="A101" s="5" t="s">
        <v>226</v>
      </c>
      <c r="B101" s="5" t="s">
        <v>8</v>
      </c>
      <c r="C101" s="5" t="s">
        <v>227</v>
      </c>
    </row>
    <row r="102" spans="1:3" x14ac:dyDescent="0.25">
      <c r="A102" s="5" t="s">
        <v>228</v>
      </c>
      <c r="B102" s="5" t="s">
        <v>185</v>
      </c>
      <c r="C102" s="5" t="s">
        <v>186</v>
      </c>
    </row>
    <row r="103" spans="1:3" x14ac:dyDescent="0.25">
      <c r="A103" s="5" t="s">
        <v>229</v>
      </c>
      <c r="B103" s="5" t="s">
        <v>53</v>
      </c>
      <c r="C103" s="5" t="s">
        <v>230</v>
      </c>
    </row>
    <row r="104" spans="1:3" x14ac:dyDescent="0.25">
      <c r="A104" s="5" t="s">
        <v>231</v>
      </c>
      <c r="B104" s="5" t="s">
        <v>17</v>
      </c>
      <c r="C104" s="5" t="s">
        <v>176</v>
      </c>
    </row>
    <row r="105" spans="1:3" x14ac:dyDescent="0.25">
      <c r="A105" s="5" t="s">
        <v>232</v>
      </c>
      <c r="B105" s="5" t="s">
        <v>233</v>
      </c>
      <c r="C105" s="5" t="s">
        <v>222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WHAT_CHANGED</vt:lpstr>
      <vt:lpstr>PREV_FIXES</vt:lpstr>
      <vt:lpstr>NEW_FIXES</vt:lpstr>
      <vt:lpstr>Query_Res</vt:lpstr>
      <vt:lpstr>Query_Res!Primus</vt:lpstr>
      <vt:lpstr>WHAT_CHANGED!Print_Area</vt:lpstr>
    </vt:vector>
  </TitlesOfParts>
  <Company>PGDS (UK ONE)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Gold Graham</dc:creator>
  <cp:lastModifiedBy>Gold Graham</cp:lastModifiedBy>
  <cp:lastPrinted>2013-05-21T11:02:38Z</cp:lastPrinted>
  <dcterms:created xsi:type="dcterms:W3CDTF">2013-05-16T15:37:09Z</dcterms:created>
  <dcterms:modified xsi:type="dcterms:W3CDTF">2013-05-21T11:31:29Z</dcterms:modified>
</cp:coreProperties>
</file>